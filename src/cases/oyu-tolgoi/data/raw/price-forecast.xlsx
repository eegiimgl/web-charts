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OT-2026\OT Revenue 2025-2050\"/>
    </mc:Choice>
  </mc:AlternateContent>
  <xr:revisionPtr revIDLastSave="0" documentId="13_ncr:1_{B1B49F24-9539-4171-8BD6-B0BA2936FBB7}" xr6:coauthVersionLast="47" xr6:coauthVersionMax="47" xr10:uidLastSave="{00000000-0000-0000-0000-000000000000}"/>
  <bookViews>
    <workbookView xWindow="-108" yWindow="-108" windowWidth="23256" windowHeight="12456" activeTab="2" xr2:uid="{C13C3C4F-AFF1-42E0-889A-74F730E8B47B}"/>
  </bookViews>
  <sheets>
    <sheet name="Sheet1" sheetId="1" r:id="rId1"/>
    <sheet name="Sheet2" sheetId="2" r:id="rId2"/>
    <sheet name="Sheet2 (2)" sheetId="3" r:id="rId3"/>
  </sheets>
  <externalReferences>
    <externalReference r:id="rId4"/>
  </externalReferences>
  <definedNames>
    <definedName name="DCFNPVFactors">Sheet1!#REF!</definedName>
    <definedName name="Poundspertonne">[1]Parameters!$I$377</definedName>
    <definedName name="stons2mtons">[1]Parameters!$I$376</definedName>
    <definedName name="Thousand">[1]Parameters!$I$374</definedName>
    <definedName name="TwoThousand">[1]Parameters!$I$375</definedName>
    <definedName name="ValueFlag">[1]Parameters!$J$10:$DE$10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3" l="1"/>
  <c r="B26" i="3"/>
  <c r="B27" i="3"/>
  <c r="B28" i="3"/>
  <c r="AB5" i="3"/>
  <c r="AB28" i="3" s="1"/>
  <c r="AA5" i="3"/>
  <c r="AA28" i="3" s="1"/>
  <c r="Z5" i="3"/>
  <c r="Z28" i="3" s="1"/>
  <c r="Y5" i="3"/>
  <c r="Y28" i="3" s="1"/>
  <c r="X5" i="3"/>
  <c r="X28" i="3" s="1"/>
  <c r="W5" i="3"/>
  <c r="W28" i="3" s="1"/>
  <c r="V5" i="3"/>
  <c r="V28" i="3" s="1"/>
  <c r="U5" i="3"/>
  <c r="U28" i="3" s="1"/>
  <c r="T5" i="3"/>
  <c r="T28" i="3" s="1"/>
  <c r="S5" i="3"/>
  <c r="S28" i="3" s="1"/>
  <c r="R5" i="3"/>
  <c r="R28" i="3" s="1"/>
  <c r="Q5" i="3"/>
  <c r="Q28" i="3" s="1"/>
  <c r="P5" i="3"/>
  <c r="P28" i="3" s="1"/>
  <c r="O5" i="3"/>
  <c r="O28" i="3" s="1"/>
  <c r="N5" i="3"/>
  <c r="N28" i="3" s="1"/>
  <c r="M5" i="3"/>
  <c r="M28" i="3" s="1"/>
  <c r="L5" i="3"/>
  <c r="L28" i="3" s="1"/>
  <c r="K5" i="3"/>
  <c r="K28" i="3" s="1"/>
  <c r="J5" i="3"/>
  <c r="J28" i="3" s="1"/>
  <c r="I5" i="3"/>
  <c r="I28" i="3" s="1"/>
  <c r="H5" i="3"/>
  <c r="H28" i="3" s="1"/>
  <c r="G5" i="3"/>
  <c r="G28" i="3" s="1"/>
  <c r="F5" i="3"/>
  <c r="F28" i="3" s="1"/>
  <c r="E5" i="3"/>
  <c r="E28" i="3" s="1"/>
  <c r="D5" i="3"/>
  <c r="D28" i="3" s="1"/>
  <c r="C5" i="3"/>
  <c r="AB4" i="3"/>
  <c r="AB27" i="3" s="1"/>
  <c r="AA4" i="3"/>
  <c r="AA27" i="3" s="1"/>
  <c r="Z4" i="3"/>
  <c r="Z27" i="3" s="1"/>
  <c r="Y4" i="3"/>
  <c r="Y27" i="3" s="1"/>
  <c r="X4" i="3"/>
  <c r="X27" i="3" s="1"/>
  <c r="W4" i="3"/>
  <c r="W27" i="3" s="1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K4" i="3"/>
  <c r="K27" i="3" s="1"/>
  <c r="J4" i="3"/>
  <c r="J27" i="3" s="1"/>
  <c r="I4" i="3"/>
  <c r="I27" i="3" s="1"/>
  <c r="H4" i="3"/>
  <c r="H27" i="3" s="1"/>
  <c r="G4" i="3"/>
  <c r="G27" i="3" s="1"/>
  <c r="F4" i="3"/>
  <c r="F27" i="3" s="1"/>
  <c r="E4" i="3"/>
  <c r="E27" i="3" s="1"/>
  <c r="D4" i="3"/>
  <c r="D27" i="3" s="1"/>
  <c r="C4" i="3"/>
  <c r="AB3" i="3"/>
  <c r="AB26" i="3" s="1"/>
  <c r="AA3" i="3"/>
  <c r="AA26" i="3" s="1"/>
  <c r="AA29" i="3" s="1"/>
  <c r="Z3" i="3"/>
  <c r="Z26" i="3" s="1"/>
  <c r="Y3" i="3"/>
  <c r="Y26" i="3" s="1"/>
  <c r="X3" i="3"/>
  <c r="X26" i="3" s="1"/>
  <c r="X29" i="3" s="1"/>
  <c r="W3" i="3"/>
  <c r="W26" i="3" s="1"/>
  <c r="W29" i="3" s="1"/>
  <c r="V3" i="3"/>
  <c r="V26" i="3" s="1"/>
  <c r="V29" i="3" s="1"/>
  <c r="U3" i="3"/>
  <c r="U26" i="3" s="1"/>
  <c r="U29" i="3" s="1"/>
  <c r="T3" i="3"/>
  <c r="T26" i="3" s="1"/>
  <c r="T29" i="3" s="1"/>
  <c r="S3" i="3"/>
  <c r="S26" i="3" s="1"/>
  <c r="S29" i="3" s="1"/>
  <c r="R3" i="3"/>
  <c r="R26" i="3" s="1"/>
  <c r="R29" i="3" s="1"/>
  <c r="Q3" i="3"/>
  <c r="Q26" i="3" s="1"/>
  <c r="Q29" i="3" s="1"/>
  <c r="P3" i="3"/>
  <c r="P26" i="3" s="1"/>
  <c r="P29" i="3" s="1"/>
  <c r="O3" i="3"/>
  <c r="O26" i="3" s="1"/>
  <c r="O29" i="3" s="1"/>
  <c r="N3" i="3"/>
  <c r="N26" i="3" s="1"/>
  <c r="N29" i="3" s="1"/>
  <c r="M3" i="3"/>
  <c r="M26" i="3" s="1"/>
  <c r="M29" i="3" s="1"/>
  <c r="L3" i="3"/>
  <c r="L26" i="3" s="1"/>
  <c r="L29" i="3" s="1"/>
  <c r="K3" i="3"/>
  <c r="K26" i="3" s="1"/>
  <c r="K29" i="3" s="1"/>
  <c r="J3" i="3"/>
  <c r="J26" i="3" s="1"/>
  <c r="J29" i="3" s="1"/>
  <c r="I3" i="3"/>
  <c r="I26" i="3" s="1"/>
  <c r="I29" i="3" s="1"/>
  <c r="H3" i="3"/>
  <c r="H26" i="3" s="1"/>
  <c r="H29" i="3" s="1"/>
  <c r="G3" i="3"/>
  <c r="G26" i="3" s="1"/>
  <c r="F3" i="3"/>
  <c r="F26" i="3" s="1"/>
  <c r="E3" i="3"/>
  <c r="E26" i="3" s="1"/>
  <c r="D3" i="3"/>
  <c r="D26" i="3" s="1"/>
  <c r="D29" i="3" s="1"/>
  <c r="C3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C17" i="2"/>
  <c r="C16" i="2" s="1"/>
  <c r="C21" i="2" s="1"/>
  <c r="D17" i="2"/>
  <c r="D16" i="2" s="1"/>
  <c r="D21" i="2" s="1"/>
  <c r="E17" i="2"/>
  <c r="E16" i="2" s="1"/>
  <c r="E21" i="2" s="1"/>
  <c r="F17" i="2"/>
  <c r="F16" i="2" s="1"/>
  <c r="F21" i="2" s="1"/>
  <c r="G17" i="2"/>
  <c r="G16" i="2" s="1"/>
  <c r="G21" i="2" s="1"/>
  <c r="H17" i="2"/>
  <c r="H16" i="2" s="1"/>
  <c r="H21" i="2" s="1"/>
  <c r="I17" i="2"/>
  <c r="I16" i="2" s="1"/>
  <c r="I21" i="2" s="1"/>
  <c r="J17" i="2"/>
  <c r="J16" i="2" s="1"/>
  <c r="J21" i="2" s="1"/>
  <c r="K17" i="2"/>
  <c r="K16" i="2" s="1"/>
  <c r="K21" i="2" s="1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B18" i="2"/>
  <c r="B19" i="2"/>
  <c r="B17" i="2"/>
  <c r="B16" i="2" s="1"/>
  <c r="B21" i="2" s="1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5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B9" i="2"/>
  <c r="C4" i="2"/>
  <c r="C14" i="2" s="1"/>
  <c r="D4" i="2"/>
  <c r="D14" i="2" s="1"/>
  <c r="E4" i="2"/>
  <c r="E14" i="2" s="1"/>
  <c r="F4" i="2"/>
  <c r="F14" i="2" s="1"/>
  <c r="G4" i="2"/>
  <c r="G14" i="2" s="1"/>
  <c r="H4" i="2"/>
  <c r="H14" i="2" s="1"/>
  <c r="I4" i="2"/>
  <c r="I14" i="2" s="1"/>
  <c r="J4" i="2"/>
  <c r="J14" i="2" s="1"/>
  <c r="K4" i="2"/>
  <c r="K14" i="2" s="1"/>
  <c r="L4" i="2"/>
  <c r="L14" i="2" s="1"/>
  <c r="M4" i="2"/>
  <c r="M14" i="2" s="1"/>
  <c r="N4" i="2"/>
  <c r="N14" i="2" s="1"/>
  <c r="O4" i="2"/>
  <c r="O14" i="2" s="1"/>
  <c r="P4" i="2"/>
  <c r="P14" i="2" s="1"/>
  <c r="Q4" i="2"/>
  <c r="Q14" i="2" s="1"/>
  <c r="R4" i="2"/>
  <c r="R14" i="2" s="1"/>
  <c r="S4" i="2"/>
  <c r="S14" i="2" s="1"/>
  <c r="T4" i="2"/>
  <c r="T14" i="2" s="1"/>
  <c r="U4" i="2"/>
  <c r="U14" i="2" s="1"/>
  <c r="V4" i="2"/>
  <c r="V14" i="2" s="1"/>
  <c r="W4" i="2"/>
  <c r="W14" i="2" s="1"/>
  <c r="X4" i="2"/>
  <c r="X14" i="2" s="1"/>
  <c r="Y4" i="2"/>
  <c r="Z4" i="2"/>
  <c r="AA4" i="2"/>
  <c r="B4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D8" i="2"/>
  <c r="E8" i="2"/>
  <c r="F8" i="2"/>
  <c r="G8" i="2"/>
  <c r="H8" i="2"/>
  <c r="C8" i="2"/>
  <c r="B8" i="2"/>
  <c r="E3" i="2"/>
  <c r="E13" i="2" s="1"/>
  <c r="F3" i="2"/>
  <c r="F13" i="2" s="1"/>
  <c r="G3" i="2"/>
  <c r="G13" i="2" s="1"/>
  <c r="H3" i="2"/>
  <c r="H13" i="2" s="1"/>
  <c r="I3" i="2"/>
  <c r="I13" i="2" s="1"/>
  <c r="J3" i="2"/>
  <c r="J13" i="2" s="1"/>
  <c r="K3" i="2"/>
  <c r="K13" i="2" s="1"/>
  <c r="L3" i="2"/>
  <c r="L13" i="2" s="1"/>
  <c r="M3" i="2"/>
  <c r="M13" i="2" s="1"/>
  <c r="N3" i="2"/>
  <c r="N13" i="2" s="1"/>
  <c r="O3" i="2"/>
  <c r="O13" i="2" s="1"/>
  <c r="P3" i="2"/>
  <c r="P13" i="2" s="1"/>
  <c r="Q3" i="2"/>
  <c r="Q13" i="2" s="1"/>
  <c r="R3" i="2"/>
  <c r="R13" i="2" s="1"/>
  <c r="S3" i="2"/>
  <c r="S13" i="2" s="1"/>
  <c r="T3" i="2"/>
  <c r="T13" i="2" s="1"/>
  <c r="U3" i="2"/>
  <c r="U13" i="2" s="1"/>
  <c r="V3" i="2"/>
  <c r="V13" i="2" s="1"/>
  <c r="W3" i="2"/>
  <c r="W13" i="2" s="1"/>
  <c r="X3" i="2"/>
  <c r="X13" i="2" s="1"/>
  <c r="Y3" i="2"/>
  <c r="Y13" i="2" s="1"/>
  <c r="Z3" i="2"/>
  <c r="Z13" i="2" s="1"/>
  <c r="AA3" i="2"/>
  <c r="AA13" i="2" s="1"/>
  <c r="D3" i="2"/>
  <c r="D13" i="2" s="1"/>
  <c r="C3" i="2"/>
  <c r="C13" i="2" s="1"/>
  <c r="B3" i="2"/>
  <c r="B13" i="2" s="1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B7" i="2"/>
  <c r="D2" i="2"/>
  <c r="D12" i="2" s="1"/>
  <c r="E2" i="2"/>
  <c r="E12" i="2" s="1"/>
  <c r="F2" i="2"/>
  <c r="F12" i="2" s="1"/>
  <c r="G2" i="2"/>
  <c r="G12" i="2" s="1"/>
  <c r="H2" i="2"/>
  <c r="H12" i="2" s="1"/>
  <c r="I2" i="2"/>
  <c r="I12" i="2" s="1"/>
  <c r="J2" i="2"/>
  <c r="J12" i="2" s="1"/>
  <c r="K2" i="2"/>
  <c r="K12" i="2" s="1"/>
  <c r="L2" i="2"/>
  <c r="L12" i="2" s="1"/>
  <c r="M2" i="2"/>
  <c r="M12" i="2" s="1"/>
  <c r="N2" i="2"/>
  <c r="N12" i="2" s="1"/>
  <c r="O2" i="2"/>
  <c r="O12" i="2" s="1"/>
  <c r="P2" i="2"/>
  <c r="P12" i="2" s="1"/>
  <c r="Q2" i="2"/>
  <c r="Q12" i="2" s="1"/>
  <c r="R2" i="2"/>
  <c r="R12" i="2" s="1"/>
  <c r="S2" i="2"/>
  <c r="S12" i="2" s="1"/>
  <c r="T2" i="2"/>
  <c r="T12" i="2" s="1"/>
  <c r="U2" i="2"/>
  <c r="U12" i="2" s="1"/>
  <c r="V2" i="2"/>
  <c r="V12" i="2" s="1"/>
  <c r="W2" i="2"/>
  <c r="W12" i="2" s="1"/>
  <c r="X2" i="2"/>
  <c r="X12" i="2" s="1"/>
  <c r="Y2" i="2"/>
  <c r="Y12" i="2" s="1"/>
  <c r="Z2" i="2"/>
  <c r="Z12" i="2" s="1"/>
  <c r="AA2" i="2"/>
  <c r="AA12" i="2" s="1"/>
  <c r="C2" i="2"/>
  <c r="C12" i="2" s="1"/>
  <c r="B2" i="2"/>
  <c r="B12" i="2" s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E13" i="1"/>
  <c r="D13" i="1"/>
  <c r="Z29" i="3" l="1"/>
  <c r="Y29" i="3"/>
  <c r="G29" i="3"/>
  <c r="F29" i="3"/>
  <c r="E29" i="3"/>
  <c r="AB29" i="3"/>
  <c r="C28" i="3"/>
  <c r="B5" i="3"/>
  <c r="C27" i="3"/>
  <c r="B4" i="3"/>
  <c r="C26" i="3"/>
  <c r="C29" i="3" s="1"/>
  <c r="B3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B15" i="3"/>
  <c r="AA15" i="3"/>
  <c r="Z15" i="3"/>
  <c r="Y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 s="1"/>
  <c r="AB14" i="3"/>
  <c r="AA14" i="3"/>
  <c r="Z14" i="3"/>
  <c r="Y14" i="3"/>
  <c r="X14" i="3"/>
  <c r="W14" i="3"/>
  <c r="U14" i="3"/>
  <c r="T14" i="3"/>
  <c r="R14" i="3"/>
  <c r="Q14" i="3"/>
  <c r="S14" i="3"/>
  <c r="P14" i="3"/>
  <c r="O14" i="3"/>
  <c r="S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 s="1"/>
  <c r="V14" i="3"/>
  <c r="Y14" i="2"/>
  <c r="Z14" i="2"/>
  <c r="AA14" i="2"/>
  <c r="B14" i="2"/>
  <c r="B16" i="3" l="1"/>
  <c r="B17" i="3" s="1"/>
  <c r="AA17" i="3"/>
  <c r="S17" i="3"/>
  <c r="O17" i="3"/>
  <c r="AB17" i="3"/>
  <c r="C17" i="3"/>
  <c r="H17" i="3"/>
  <c r="X17" i="3"/>
  <c r="W17" i="3"/>
  <c r="I17" i="3"/>
  <c r="F17" i="3"/>
  <c r="E17" i="3"/>
  <c r="D17" i="3"/>
  <c r="G17" i="3"/>
  <c r="Z17" i="3"/>
  <c r="T17" i="3"/>
  <c r="R17" i="3"/>
  <c r="Q17" i="3"/>
  <c r="P17" i="3"/>
  <c r="J17" i="3"/>
  <c r="U17" i="3"/>
  <c r="Y17" i="3"/>
  <c r="N17" i="3"/>
  <c r="M17" i="3"/>
  <c r="L17" i="3"/>
  <c r="K17" i="3"/>
  <c r="V17" i="3"/>
</calcChain>
</file>

<file path=xl/sharedStrings.xml><?xml version="1.0" encoding="utf-8"?>
<sst xmlns="http://schemas.openxmlformats.org/spreadsheetml/2006/main" count="253" uniqueCount="52">
  <si>
    <t>Prices</t>
  </si>
  <si>
    <t>Copper</t>
  </si>
  <si>
    <t>Gold</t>
  </si>
  <si>
    <t>Silver</t>
  </si>
  <si>
    <t>Payable Metals in Concentrate</t>
  </si>
  <si>
    <t>ktonnes</t>
  </si>
  <si>
    <t>kounces</t>
  </si>
  <si>
    <t>Gross Revenue</t>
  </si>
  <si>
    <t>$M Real</t>
  </si>
  <si>
    <t>Copper $/lb</t>
  </si>
  <si>
    <t>Gold $/oz</t>
  </si>
  <si>
    <t>Silver $/oz</t>
  </si>
  <si>
    <t>lb vs t</t>
  </si>
  <si>
    <t>Copper $/t</t>
  </si>
  <si>
    <t>Payable Metals in Concentrate (tonne)</t>
  </si>
  <si>
    <t>Gold $/t</t>
  </si>
  <si>
    <t>Silver $/t</t>
  </si>
  <si>
    <t>oz vs t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</si>
  <si>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</si>
  <si>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</si>
  <si>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</si>
  <si>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</si>
  <si>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</si>
  <si>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</si>
  <si>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</si>
  <si>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</si>
  <si>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</si>
  <si>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</si>
  <si>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</si>
  <si>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</si>
  <si>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</si>
  <si>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</si>
  <si>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</si>
  <si>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</si>
  <si>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</si>
  <si>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</si>
  <si>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</si>
  <si>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</si>
  <si>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</si>
  <si>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</si>
  <si>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</si>
  <si>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</si>
  <si>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</si>
  <si>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</si>
  <si>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</si>
  <si>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2026 Price</t>
  </si>
  <si>
    <t>2026 Price Scen.</t>
  </si>
  <si>
    <t>2026 Price Scenario</t>
  </si>
  <si>
    <t>OT HNL1 Case</t>
  </si>
  <si>
    <t>TRQ 2022 Case</t>
  </si>
  <si>
    <t>GT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</si>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</sst>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43" fontId="0" fillId="0" borderId="0" xfId="0" applyNumberFormat="1"/>
    <xf numFmtId="6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64" fontId="0" fillId="0" borderId="0" xfId="1" applyNumberFormat="1" applyFont="1"/>
    <xf numFmtId="0" fontId="0" fillId="0" borderId="0" xfId="0" applyAlignment="1">
      <alignment wrapText="1"/>
    </xf>
    <xf numFmtId="0" fontId="5" fillId="0" borderId="0" xfId="0" applyFont="1"/>
    <xf numFmtId="164" fontId="1" fillId="0" borderId="0" xfId="1" applyNumberFormat="1" applyFont="1"/>
    <xf numFmtId="164" fontId="7" fillId="0" borderId="0" xfId="0" applyNumberFormat="1" applyFont="1"/>
  </cellXfs>
  <cellStyles count="2">
    <cellStyle name="Comma" xfId="1" builtinId="3"/>
    <cellStyle name="Normal" xfId="0" builtinId="0"/>
  </cellStyles>
  <dxfs count="24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4"/>
        <color rgb="FFFF0000"/>
        <name val="Aptos Narrow"/>
        <family val="2"/>
        <scheme val="minor"/>
      </font>
    </dxf>
    <dxf>
      <font>
        <b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4"/>
        <color rgb="FFFF0000"/>
        <name val="Aptos Narrow"/>
        <family val="2"/>
        <scheme val="minor"/>
      </font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Sheet1!$A$12:$B$12</c:f>
              <c:strCache>
                <c:ptCount val="2"/>
                <c:pt idx="0">
                  <c:v>Copper</c:v>
                </c:pt>
                <c:pt idx="1">
                  <c:v>$M 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Sheet1!$C$12:$AC$12</c:f>
              <c:numCache>
                <c:formatCode>_(* #,##0_);_(* \(#,##0\);_(* "-"??_);_(@_)</c:formatCode>
                <c:ptCount val="27"/>
                <c:pt idx="0">
                  <c:v>76736.810824389089</c:v>
                </c:pt>
                <c:pt idx="1">
                  <c:v>3190.8253199353144</c:v>
                </c:pt>
                <c:pt idx="2">
                  <c:v>3629.1568397718547</c:v>
                </c:pt>
                <c:pt idx="3">
                  <c:v>4225.7861285051304</c:v>
                </c:pt>
                <c:pt idx="4">
                  <c:v>4445.3384657660372</c:v>
                </c:pt>
                <c:pt idx="5">
                  <c:v>4579.8157757666168</c:v>
                </c:pt>
                <c:pt idx="6">
                  <c:v>4908.4343630076473</c:v>
                </c:pt>
                <c:pt idx="7">
                  <c:v>5178.0356412211868</c:v>
                </c:pt>
                <c:pt idx="8">
                  <c:v>4824.3166633992014</c:v>
                </c:pt>
                <c:pt idx="9">
                  <c:v>4400.0332288363297</c:v>
                </c:pt>
                <c:pt idx="10">
                  <c:v>3931.2234958070576</c:v>
                </c:pt>
                <c:pt idx="11">
                  <c:v>3762.579056215076</c:v>
                </c:pt>
                <c:pt idx="12">
                  <c:v>3798.5672384774612</c:v>
                </c:pt>
                <c:pt idx="13">
                  <c:v>3887.0071246879802</c:v>
                </c:pt>
                <c:pt idx="14">
                  <c:v>3968.8285183827875</c:v>
                </c:pt>
                <c:pt idx="15">
                  <c:v>4002.7150321480121</c:v>
                </c:pt>
                <c:pt idx="16">
                  <c:v>3258.113250718799</c:v>
                </c:pt>
                <c:pt idx="17">
                  <c:v>2301.4098316343511</c:v>
                </c:pt>
                <c:pt idx="18">
                  <c:v>1472.3209398612958</c:v>
                </c:pt>
                <c:pt idx="19">
                  <c:v>1057.9440263354695</c:v>
                </c:pt>
                <c:pt idx="20">
                  <c:v>983.73771292084234</c:v>
                </c:pt>
                <c:pt idx="21">
                  <c:v>807.52201706296341</c:v>
                </c:pt>
                <c:pt idx="22">
                  <c:v>791.60006179451364</c:v>
                </c:pt>
                <c:pt idx="23">
                  <c:v>798.8496951153295</c:v>
                </c:pt>
                <c:pt idx="24">
                  <c:v>976.19149724030899</c:v>
                </c:pt>
                <c:pt idx="25">
                  <c:v>1113.6464122324644</c:v>
                </c:pt>
                <c:pt idx="26">
                  <c:v>442.81248754505685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1-495D-8624-0499D707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708799"/>
        <c:axId val="1859442095"/>
      </c:lineChart>
      <c:catAx>
        <c:axId val="894708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442095"/>
        <c:crosses val="autoZero"/>
        <c:auto val="1"/>
        <c:lblAlgn val="ctr"/>
        <c:lblOffset val="100"/>
        <c:noMultiLvlLbl val="0"/>
      </c:catAx>
      <c:valAx>
        <c:axId val="185944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7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n-MN"/>
              <a:t>Зэс,</a:t>
            </a:r>
            <a:r>
              <a:rPr lang="mn-MN" baseline="0"/>
              <a:t> алтны үнийн зөрүүгээс олох ОТ орлого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Sheet2!$B$20:$AA$20</c:f>
              <c:strCach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strCache>
            </c:strRef>
          </c:cat>
          <c:val>
            <c:numRef>
              <c:f>Sheet2!$B$21:$AA$21</c:f>
              <c:numCache>
                <c:formatCode>_(* #,##0_);_(* \(#,##0\);_(* "-"??_);_(@_)</c:formatCode>
                <c:ptCount val="26"/>
                <c:pt idx="0">
                  <c:v>2466784610084.3037</c:v>
                </c:pt>
                <c:pt idx="1">
                  <c:v>2501524974786.6416</c:v>
                </c:pt>
                <c:pt idx="2">
                  <c:v>2536924180419.1748</c:v>
                </c:pt>
                <c:pt idx="3">
                  <c:v>2827554412486.8037</c:v>
                </c:pt>
                <c:pt idx="4">
                  <c:v>3501126022939.4814</c:v>
                </c:pt>
                <c:pt idx="5">
                  <c:v>3857518834647.5244</c:v>
                </c:pt>
                <c:pt idx="6">
                  <c:v>3731654091002.9004</c:v>
                </c:pt>
                <c:pt idx="7">
                  <c:v>3501953148272.5332</c:v>
                </c:pt>
                <c:pt idx="8">
                  <c:v>3108547815762.0947</c:v>
                </c:pt>
                <c:pt idx="9">
                  <c:v>2693099170223.5479</c:v>
                </c:pt>
                <c:pt idx="10">
                  <c:v>2656430034757.4453</c:v>
                </c:pt>
                <c:pt idx="11">
                  <c:v>2633338515063.2861</c:v>
                </c:pt>
                <c:pt idx="12">
                  <c:v>2725351365694.7441</c:v>
                </c:pt>
                <c:pt idx="13">
                  <c:v>2845634559093.9131</c:v>
                </c:pt>
                <c:pt idx="14">
                  <c:v>2930303831745.4404</c:v>
                </c:pt>
                <c:pt idx="15">
                  <c:v>3013556576411.3008</c:v>
                </c:pt>
                <c:pt idx="16">
                  <c:v>1523481273810.1206</c:v>
                </c:pt>
                <c:pt idx="17">
                  <c:v>1091907138165.8013</c:v>
                </c:pt>
                <c:pt idx="18">
                  <c:v>807325367711.3894</c:v>
                </c:pt>
                <c:pt idx="19">
                  <c:v>655825434506.72632</c:v>
                </c:pt>
                <c:pt idx="20">
                  <c:v>657477435496.73047</c:v>
                </c:pt>
                <c:pt idx="21">
                  <c:v>691552677458.28308</c:v>
                </c:pt>
                <c:pt idx="22">
                  <c:v>895931301744.33203</c:v>
                </c:pt>
                <c:pt idx="23">
                  <c:v>1170925294043.1609</c:v>
                </c:pt>
                <c:pt idx="24">
                  <c:v>1798094457861.4263</c:v>
                </c:pt>
                <c:pt idx="25">
                  <c:v>529757603702.80066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F-4D52-BDE1-E8C795E4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838656"/>
        <c:axId val="482053808"/>
      </c:barChart>
      <c:catAx>
        <c:axId val="8008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53808"/>
        <c:crosses val="autoZero"/>
        <c:auto val="1"/>
        <c:lblAlgn val="ctr"/>
        <c:lblOffset val="100"/>
        <c:noMultiLvlLbl val="0"/>
      </c:catAx>
      <c:valAx>
        <c:axId val="4820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3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396240</xdr:colOff>
      <xdr:row>14</xdr:row>
      <xdr:rowOff>0</xdr:rowOff>
    </xdr:from>
    <xdr:to>
      <xdr:col>38</xdr:col>
      <xdr:colOff>91440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62CD0-7390-3415-CDCA-B7CFE214E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1173480</xdr:colOff>
      <xdr:row>22</xdr:row>
      <xdr:rowOff>144780</xdr:rowOff>
    </xdr:from>
    <xdr:to>
      <xdr:col>27</xdr:col>
      <xdr:colOff>586740</xdr:colOff>
      <xdr:row>45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B198A1-3BC5-BD15-4322-4EF04D412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port/Model/working-version/Cash%20Flow%20evaluation%20tool_5Q1_09252025_with%20Value%20Share_v2%20(FourSeasons-2026-06-11).xlsm" TargetMode="External"/><Relationship Id="rId2" Type="http://schemas.openxmlformats.org/officeDocument/2006/relationships/externalLinkPath" Target="file:///D:\Dropbox\OT-2026\report\Model\working-version\Cash%20Flow%20evaluation%20tool_5Q1_09252025_with%20Value%20Share_v2%20(FourSeasons-2026-06-11).xlsm" TargetMode="External"/><Relationship Id="rId1" Type="http://schemas.openxmlformats.org/officeDocument/2006/relationships/externalLinkPath" Target="/Dropbox/OT-2026/report/Model/working-version/Cash%20Flow%20evaluation%20tool_5Q1_09252025_with%20Value%20Share_v2%20(FourSeasons-2026-06-1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face"/>
      <sheetName val="Value Share"/>
      <sheetName val="Parameters"/>
      <sheetName val="PFInputs"/>
      <sheetName val="Debt"/>
      <sheetName val="Equity"/>
      <sheetName val="Shareholders"/>
      <sheetName val="Tax"/>
      <sheetName val="Entree"/>
      <sheetName val="Cash Flow"/>
      <sheetName val="Resource_5Q1"/>
      <sheetName val="Reserve_5Q1"/>
      <sheetName val="Reserve_5Q1_P1_12m"/>
      <sheetName val="Active Case"/>
      <sheetName val="Price_Original_Model"/>
      <sheetName val="Price 2026"/>
      <sheetName val="Price-2026-SHL-3%-less"/>
      <sheetName val="Price-2026-SHL-3%-less-50%ManF"/>
      <sheetName val="Model-Price-SHL-3%-less-50%ManF"/>
      <sheetName val="Only ManFee50%"/>
    </sheetNames>
    <sheetDataSet>
      <sheetData sheetId="0"/>
      <sheetData sheetId="1"/>
      <sheetData sheetId="2">
        <row r="10"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</row>
        <row r="374">
          <cell r="I374">
            <v>1000</v>
          </cell>
        </row>
        <row r="375">
          <cell r="I375">
            <v>2000</v>
          </cell>
        </row>
        <row r="376">
          <cell r="I376">
            <v>0.90718474000000004</v>
          </cell>
        </row>
        <row r="377">
          <cell r="I377">
            <v>2204.62262184878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BBD85-5D33-40AE-A6F2-ADD5281702AA}" name="Table1" displayName="Table1" ref="A11:AA15" totalsRowCount="1" headerRowDxfId="52">
  <autoFilter ref="A11:AA14" xr:uid="{0DBBBD85-5D33-40AE-A6F2-ADD5281702AA}"/>
  <tableColumns count="27">
    <tableColumn id="1" xr3:uid="{55F031A7-974D-4389-A674-B2191FD8B9DC}" name="Gross Revenue" totalsRowLabel="Total"/>
    <tableColumn id="2" xr3:uid="{5004D60E-F0EB-4121-B47D-94E08F48FC6E}" name="2025" totalsRowFunction="sum" dataDxfId="51" totalsRowDxfId="50"/>
    <tableColumn id="3" xr3:uid="{8E4B005E-ADC7-4DCD-9700-EC1A68CB736A}" name="2026" totalsRowFunction="sum" dataDxfId="49" totalsRowDxfId="48"/>
    <tableColumn id="4" xr3:uid="{8B25ACB9-19D0-4B7C-B581-A06167908491}" name="2027" totalsRowFunction="sum" dataDxfId="47" totalsRowDxfId="46"/>
    <tableColumn id="5" xr3:uid="{EC697D33-7DE6-480A-B158-5079E48A0A33}" name="2028" totalsRowFunction="sum" dataDxfId="45" totalsRowDxfId="44"/>
    <tableColumn id="6" xr3:uid="{40C9FD78-563F-4C70-96C3-0AE749334D0D}" name="2029" totalsRowFunction="sum" dataDxfId="43" totalsRowDxfId="42"/>
    <tableColumn id="7" xr3:uid="{883D25F6-A25C-4A54-BC07-91213D8E728D}" name="2030" totalsRowFunction="sum" dataDxfId="41" totalsRowDxfId="40"/>
    <tableColumn id="8" xr3:uid="{FDE9A47A-193D-457F-B3B5-53CF3BC45D96}" name="2031" totalsRowFunction="sum" dataDxfId="39" totalsRowDxfId="38"/>
    <tableColumn id="9" xr3:uid="{59A43CF3-98CB-46C4-8C2A-359B428E2C80}" name="2032" totalsRowFunction="sum" dataDxfId="37" totalsRowDxfId="36"/>
    <tableColumn id="10" xr3:uid="{50277A44-EE23-4C1F-9493-7F5B67D0ACBD}" name="2033" totalsRowFunction="sum" dataDxfId="35" totalsRowDxfId="34"/>
    <tableColumn id="11" xr3:uid="{DD8D0855-AD11-4F61-A5E4-B122F15C9D83}" name="2034" totalsRowFunction="sum" dataDxfId="33" totalsRowDxfId="32"/>
    <tableColumn id="12" xr3:uid="{CA678F3A-EC57-4135-A2EF-D3BD51D02936}" name="2035" totalsRowFunction="sum" dataDxfId="31" totalsRowDxfId="30"/>
    <tableColumn id="13" xr3:uid="{44C60FEC-8307-4793-BA5C-1136267F5CCE}" name="2036" totalsRowFunction="sum" dataDxfId="29" totalsRowDxfId="28"/>
    <tableColumn id="14" xr3:uid="{7E2E5283-0C7A-44EC-9A4C-5A50DBEE2418}" name="2037" totalsRowFunction="sum" dataDxfId="27" totalsRowDxfId="26"/>
    <tableColumn id="15" xr3:uid="{C1FC7520-0B76-4E00-95E4-3C48BD95DAA3}" name="2038" totalsRowFunction="sum" dataDxfId="25" totalsRowDxfId="24"/>
    <tableColumn id="16" xr3:uid="{D0B12AB8-BC61-4CB3-B8BC-02C9D16C6368}" name="2039" totalsRowFunction="sum" dataDxfId="23" totalsRowDxfId="22"/>
    <tableColumn id="17" xr3:uid="{39172EAB-5668-448E-BF04-8F184FC2105A}" name="2040" totalsRowFunction="sum" dataDxfId="21" totalsRowDxfId="20"/>
    <tableColumn id="18" xr3:uid="{B204F502-3B37-4BC0-8176-D27EEF5B74A2}" name="2041" totalsRowFunction="sum" dataDxfId="19" totalsRowDxfId="18"/>
    <tableColumn id="19" xr3:uid="{14CF452F-9D74-4AFA-B0C3-7B238C155D1A}" name="2042" totalsRowFunction="sum" dataDxfId="17" totalsRowDxfId="16"/>
    <tableColumn id="20" xr3:uid="{F2B5173B-35B5-443B-A042-78E61D76D218}" name="2043" totalsRowFunction="sum" dataDxfId="15" totalsRowDxfId="14"/>
    <tableColumn id="21" xr3:uid="{161ED5CE-B463-4354-A836-54F8679B39A7}" name="2044" totalsRowFunction="sum" dataDxfId="13" totalsRowDxfId="12"/>
    <tableColumn id="22" xr3:uid="{3289F477-F306-4DEF-BAC2-719E4B6626A8}" name="2045" totalsRowFunction="sum" dataDxfId="11" totalsRowDxfId="10"/>
    <tableColumn id="23" xr3:uid="{3D5124C2-855D-483B-8A39-C01001203FB9}" name="2046" totalsRowFunction="sum" dataDxfId="9" totalsRowDxfId="8"/>
    <tableColumn id="24" xr3:uid="{8C6B587D-F34B-48A3-9803-7C24E8521E05}" name="2047" totalsRowFunction="sum" dataDxfId="7" totalsRowDxfId="6"/>
    <tableColumn id="25" xr3:uid="{AC316CDC-0D5C-4501-9FDB-12117FC35838}" name="2048" totalsRowFunction="sum" dataDxfId="5" totalsRowDxfId="4"/>
    <tableColumn id="26" xr3:uid="{F32FD502-276B-48C5-A6E3-F200A4996313}" name="2049" totalsRowFunction="sum" dataDxfId="3" totalsRowDxfId="2"/>
    <tableColumn id="27" xr3:uid="{62D3BA88-6AD7-48B1-A758-4B29EF4B5783}" name="2050" totalsRowFunction="sum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79BB2-7FA9-4843-9864-066A04FF6958}" name="Table13" displayName="Table13" ref="A13:AB17" totalsRowCount="1" headerRowDxfId="242">
  <autoFilter ref="A13:AB16" xr:uid="{0DBBBD85-5D33-40AE-A6F2-ADD5281702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49B6A0BE-6F2B-43E2-9793-778426861EA9}" name="Gross Revenue" totalsRowLabel="Total"/>
    <tableColumn id="28" xr3:uid="{CC15A67B-61FE-485B-B5CF-C0EDD7BEE2A9}" name="Grand Total" totalsRowFunction="sum" dataDxfId="241" totalsRowDxfId="240">
      <calculatedColumnFormula>SUM(Table13[[#This Row],[2025]:[2050]])</calculatedColumnFormula>
    </tableColumn>
    <tableColumn id="2" xr3:uid="{BE92D14E-F1D4-4B74-B5E8-EC4AE1021D9D}" name="2025" totalsRowFunction="sum" dataDxfId="239" totalsRowDxfId="238">
      <calculatedColumnFormula>C9*C3/1000000</calculatedColumnFormula>
    </tableColumn>
    <tableColumn id="3" xr3:uid="{AFADD943-A8C8-4986-948B-14B67332AD3F}" name="2026" totalsRowFunction="sum" dataDxfId="237" totalsRowDxfId="236">
      <calculatedColumnFormula>D9*D3/1000000</calculatedColumnFormula>
    </tableColumn>
    <tableColumn id="4" xr3:uid="{5644FDB7-F057-4FCE-BE95-380CFA9B0F2D}" name="2027" totalsRowFunction="sum" dataDxfId="235" totalsRowDxfId="234">
      <calculatedColumnFormula>E9*E3/1000000</calculatedColumnFormula>
    </tableColumn>
    <tableColumn id="5" xr3:uid="{947DB0A3-E943-4CC9-9840-79CF34418049}" name="2028" totalsRowFunction="sum" dataDxfId="233" totalsRowDxfId="232">
      <calculatedColumnFormula>F9*F3/1000000</calculatedColumnFormula>
    </tableColumn>
    <tableColumn id="6" xr3:uid="{29FD78AA-333F-401E-81DF-49A0CEB18645}" name="2029" totalsRowFunction="sum" dataDxfId="231" totalsRowDxfId="230">
      <calculatedColumnFormula>G9*G3/1000000</calculatedColumnFormula>
    </tableColumn>
    <tableColumn id="7" xr3:uid="{7E82A76C-1308-4107-8CC7-0202FC952BDF}" name="2030" totalsRowFunction="sum" dataDxfId="229" totalsRowDxfId="228">
      <calculatedColumnFormula>H9*H3/1000000</calculatedColumnFormula>
    </tableColumn>
    <tableColumn id="8" xr3:uid="{15F3EBF4-EEC3-4ADF-8ED5-7672ECEAF70E}" name="2031" totalsRowFunction="sum" dataDxfId="227" totalsRowDxfId="226">
      <calculatedColumnFormula>I9*I3/1000000</calculatedColumnFormula>
    </tableColumn>
    <tableColumn id="9" xr3:uid="{3974572B-C2CF-4D0F-9E6B-52C71D429E5E}" name="2032" totalsRowFunction="sum" dataDxfId="225" totalsRowDxfId="224">
      <calculatedColumnFormula>J9*J3/1000000</calculatedColumnFormula>
    </tableColumn>
    <tableColumn id="10" xr3:uid="{287BBC43-6582-4426-B5DF-F6FBD5516280}" name="2033" totalsRowFunction="sum" dataDxfId="223" totalsRowDxfId="222">
      <calculatedColumnFormula>K9*K3/1000000</calculatedColumnFormula>
    </tableColumn>
    <tableColumn id="11" xr3:uid="{F569DDF2-E0B5-4F3D-B9FC-F17588702585}" name="2034" totalsRowFunction="sum" dataDxfId="221" totalsRowDxfId="220">
      <calculatedColumnFormula>L9*L3/1000000</calculatedColumnFormula>
    </tableColumn>
    <tableColumn id="12" xr3:uid="{3FF8E86C-F1F9-4CCD-9894-E402206CBB24}" name="2035" totalsRowFunction="sum" dataDxfId="219" totalsRowDxfId="218">
      <calculatedColumnFormula>M9*M3/1000000</calculatedColumnFormula>
    </tableColumn>
    <tableColumn id="13" xr3:uid="{BC153229-4F96-4D75-94A0-A5BA08B4BEB8}" name="2036" totalsRowFunction="sum" dataDxfId="217" totalsRowDxfId="216">
      <calculatedColumnFormula>N9*N3/1000000</calculatedColumnFormula>
    </tableColumn>
    <tableColumn id="14" xr3:uid="{AEC112D6-2694-4A48-8A39-3FC3ED234968}" name="2037" totalsRowFunction="sum" dataDxfId="215" totalsRowDxfId="214">
      <calculatedColumnFormula>O9*O3/1000000</calculatedColumnFormula>
    </tableColumn>
    <tableColumn id="15" xr3:uid="{2D223297-FE5C-480F-B46E-55E41299E7B9}" name="2038" totalsRowFunction="sum" dataDxfId="213" totalsRowDxfId="212">
      <calculatedColumnFormula>P9*P3/1000000</calculatedColumnFormula>
    </tableColumn>
    <tableColumn id="16" xr3:uid="{7795D470-ABA4-45AE-A361-1098F2751F13}" name="2039" totalsRowFunction="sum" dataDxfId="211" totalsRowDxfId="210">
      <calculatedColumnFormula>Q9*Q3/1000000</calculatedColumnFormula>
    </tableColumn>
    <tableColumn id="17" xr3:uid="{5E81F5F7-D386-478C-87C1-3AC3531E2258}" name="2040" totalsRowFunction="sum" dataDxfId="209" totalsRowDxfId="208">
      <calculatedColumnFormula>R9*R3/1000000</calculatedColumnFormula>
    </tableColumn>
    <tableColumn id="18" xr3:uid="{03BB40F5-9956-4C83-B9E9-89B634BDA99C}" name="2041" totalsRowFunction="sum" dataDxfId="207" totalsRowDxfId="206">
      <calculatedColumnFormula>S9*S3/1000000</calculatedColumnFormula>
    </tableColumn>
    <tableColumn id="19" xr3:uid="{ACCB6699-A66C-41C0-A5FA-A224BA30612B}" name="2042" totalsRowFunction="sum" dataDxfId="205" totalsRowDxfId="204">
      <calculatedColumnFormula>T9*T3/1000000</calculatedColumnFormula>
    </tableColumn>
    <tableColumn id="20" xr3:uid="{8A98AB07-8E5D-4FF4-9622-03D4E447593E}" name="2043" totalsRowFunction="sum" dataDxfId="203" totalsRowDxfId="202">
      <calculatedColumnFormula>U9*U3/1000000</calculatedColumnFormula>
    </tableColumn>
    <tableColumn id="21" xr3:uid="{15AC1D67-53FE-4507-8E7B-9E85ACD703A8}" name="2044" totalsRowFunction="sum" dataDxfId="201" totalsRowDxfId="200">
      <calculatedColumnFormula>V9*V3/1000000</calculatedColumnFormula>
    </tableColumn>
    <tableColumn id="22" xr3:uid="{1D8CADAB-3D12-4B1A-A37F-30441299EE7B}" name="2045" totalsRowFunction="sum" dataDxfId="199" totalsRowDxfId="198">
      <calculatedColumnFormula>W9*W3/1000000</calculatedColumnFormula>
    </tableColumn>
    <tableColumn id="23" xr3:uid="{CD11D0D1-B1C3-4E0C-9329-88662A4DCAE3}" name="2046" totalsRowFunction="sum" dataDxfId="197" totalsRowDxfId="196">
      <calculatedColumnFormula>X9*X3/1000000</calculatedColumnFormula>
    </tableColumn>
    <tableColumn id="24" xr3:uid="{AB154F5B-E1FD-4859-8637-480C12EE38A4}" name="2047" totalsRowFunction="sum" dataDxfId="195" totalsRowDxfId="194">
      <calculatedColumnFormula>Y9*Y3/1000000</calculatedColumnFormula>
    </tableColumn>
    <tableColumn id="25" xr3:uid="{0A91B62F-364A-437E-BAEB-8A2A9A31003A}" name="2048" totalsRowFunction="sum" dataDxfId="193" totalsRowDxfId="192">
      <calculatedColumnFormula>Z9*Z3/1000000</calculatedColumnFormula>
    </tableColumn>
    <tableColumn id="26" xr3:uid="{3A3E18F9-DAC0-4FBC-B30C-BFE5C38FEB59}" name="2049" totalsRowFunction="sum" dataDxfId="191" totalsRowDxfId="190">
      <calculatedColumnFormula>AA9*AA3/1000000</calculatedColumnFormula>
    </tableColumn>
    <tableColumn id="27" xr3:uid="{9E8BD0D4-F883-47B5-8479-317F08F714C1}" name="2050" totalsRowFunction="sum" dataDxfId="189" totalsRowDxfId="188">
      <calculatedColumnFormula>AB9*AB3/1000000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EBFCB3-1080-4A43-96A2-D0ADE091ECD6}" name="Table3" displayName="Table3" ref="A8:AB11" totalsRowShown="0" headerRowDxfId="187">
  <autoFilter ref="A8:AB11" xr:uid="{F8EBFCB3-1080-4A43-96A2-D0ADE091EC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5B4BCFE4-2283-4C1E-9D87-1BFF7451AD3C}" name="Prices"/>
    <tableColumn id="28" xr3:uid="{C6C94944-3863-4030-A20B-CFF82FA06ED8}" name="GT"/>
    <tableColumn id="2" xr3:uid="{A37DE166-4169-4902-9E47-FAB822AD8137}" name="2025" dataDxfId="186">
      <calculatedColumnFormula>Sheet1!D2*Sheet1!$D$21</calculatedColumnFormula>
    </tableColumn>
    <tableColumn id="3" xr3:uid="{5CD9F3F5-1E9D-45EE-B951-DED922A824EE}" name="2026" dataDxfId="185">
      <calculatedColumnFormula>Sheet1!E2*Sheet1!$D$21</calculatedColumnFormula>
    </tableColumn>
    <tableColumn id="4" xr3:uid="{59D60937-9132-4B11-9875-0F99BCA0F8D5}" name="2027" dataDxfId="184">
      <calculatedColumnFormula>Sheet1!F2*Sheet1!$D$21</calculatedColumnFormula>
    </tableColumn>
    <tableColumn id="5" xr3:uid="{CA4BC93D-EDDA-4498-8D8D-D07D990D30D4}" name="2028" dataDxfId="183">
      <calculatedColumnFormula>Sheet1!G2*Sheet1!$D$21</calculatedColumnFormula>
    </tableColumn>
    <tableColumn id="6" xr3:uid="{1A6744A0-3A91-482F-8981-DEC13A1BD79D}" name="2029" dataDxfId="182">
      <calculatedColumnFormula>Sheet1!H2*Sheet1!$D$21</calculatedColumnFormula>
    </tableColumn>
    <tableColumn id="7" xr3:uid="{90CFCFF1-A61B-4296-9A60-3E14B5215593}" name="2030" dataDxfId="181">
      <calculatedColumnFormula>Sheet1!I2*Sheet1!$D$21</calculatedColumnFormula>
    </tableColumn>
    <tableColumn id="8" xr3:uid="{58B2B344-2AE2-428D-B566-A778592016B9}" name="2031" dataDxfId="180">
      <calculatedColumnFormula>Sheet1!J2*Sheet1!$D$21</calculatedColumnFormula>
    </tableColumn>
    <tableColumn id="9" xr3:uid="{A3F4A0A6-014C-4F59-B13A-170241DA97A9}" name="2032" dataDxfId="179">
      <calculatedColumnFormula>Sheet1!K2*Sheet1!$D$21</calculatedColumnFormula>
    </tableColumn>
    <tableColumn id="10" xr3:uid="{F5F6454C-E260-472E-BC2B-18B39D1B133F}" name="2033" dataDxfId="178">
      <calculatedColumnFormula>Sheet1!L2*Sheet1!$D$21</calculatedColumnFormula>
    </tableColumn>
    <tableColumn id="11" xr3:uid="{907038AB-AE5A-4879-AD99-9B9C1F712BAB}" name="2034" dataDxfId="177">
      <calculatedColumnFormula>Sheet1!M2*Sheet1!$D$21</calculatedColumnFormula>
    </tableColumn>
    <tableColumn id="12" xr3:uid="{DA9AE4D1-B080-4DE6-BA37-7565376AC15E}" name="2035" dataDxfId="176">
      <calculatedColumnFormula>Sheet1!N2*Sheet1!$D$21</calculatedColumnFormula>
    </tableColumn>
    <tableColumn id="13" xr3:uid="{D34FD17D-21CC-4AD9-B194-9AAECEFBE349}" name="2036" dataDxfId="175">
      <calculatedColumnFormula>Sheet1!O2*Sheet1!$D$21</calculatedColumnFormula>
    </tableColumn>
    <tableColumn id="14" xr3:uid="{B52E60F2-D624-4FBA-AAE9-704893230938}" name="2037" dataDxfId="174">
      <calculatedColumnFormula>Sheet1!P2*Sheet1!$D$21</calculatedColumnFormula>
    </tableColumn>
    <tableColumn id="15" xr3:uid="{D379D390-E47F-4FB5-B98C-0A3EC6A14456}" name="2038" dataDxfId="173">
      <calculatedColumnFormula>Sheet1!Q2*Sheet1!$D$21</calculatedColumnFormula>
    </tableColumn>
    <tableColumn id="16" xr3:uid="{CE9D013D-117E-4465-A4DF-FD2FF1A9121E}" name="2039" dataDxfId="172">
      <calculatedColumnFormula>Sheet1!R2*Sheet1!$D$21</calculatedColumnFormula>
    </tableColumn>
    <tableColumn id="17" xr3:uid="{8990B6AA-74AA-45F6-BDD7-FC0DEE04AFCE}" name="2040" dataDxfId="171">
      <calculatedColumnFormula>Sheet1!S2*Sheet1!$D$21</calculatedColumnFormula>
    </tableColumn>
    <tableColumn id="18" xr3:uid="{212C2128-D08A-41FA-B016-A2BFE8B6432C}" name="2041" dataDxfId="170">
      <calculatedColumnFormula>Sheet1!T2*Sheet1!$D$21</calculatedColumnFormula>
    </tableColumn>
    <tableColumn id="19" xr3:uid="{FCE0BB4C-D9CD-4B72-936A-2EEF859C8AB5}" name="2042" dataDxfId="169">
      <calculatedColumnFormula>Sheet1!U2*Sheet1!$D$21</calculatedColumnFormula>
    </tableColumn>
    <tableColumn id="20" xr3:uid="{B6A47328-1021-4BCD-A27F-98D3928BCFC7}" name="2043" dataDxfId="168">
      <calculatedColumnFormula>Sheet1!V2*Sheet1!$D$21</calculatedColumnFormula>
    </tableColumn>
    <tableColumn id="21" xr3:uid="{4CB1030D-0EE5-4EDE-9355-5B5CBA788B1F}" name="2044" dataDxfId="167">
      <calculatedColumnFormula>Sheet1!W2*Sheet1!$D$21</calculatedColumnFormula>
    </tableColumn>
    <tableColumn id="22" xr3:uid="{27C348F5-FE11-4A16-9396-2A46E61D1DF6}" name="2045" dataDxfId="166">
      <calculatedColumnFormula>Sheet1!X2*Sheet1!$D$21</calculatedColumnFormula>
    </tableColumn>
    <tableColumn id="23" xr3:uid="{E59E8232-B232-4498-AFB1-8FF305FBADD3}" name="2046" dataDxfId="165">
      <calculatedColumnFormula>Sheet1!Y2*Sheet1!$D$21</calculatedColumnFormula>
    </tableColumn>
    <tableColumn id="24" xr3:uid="{8E7238DC-59A4-4DF4-B99C-F905439A6006}" name="2047" dataDxfId="164">
      <calculatedColumnFormula>Sheet1!Z2*Sheet1!$D$21</calculatedColumnFormula>
    </tableColumn>
    <tableColumn id="25" xr3:uid="{9655E147-C1A9-409E-8657-220A80B6D9DE}" name="2048" dataDxfId="163">
      <calculatedColumnFormula>Sheet1!AA2*Sheet1!$D$21</calculatedColumnFormula>
    </tableColumn>
    <tableColumn id="26" xr3:uid="{44849343-867E-4AC5-8A48-2258EE71CCAE}" name="2049" dataDxfId="162">
      <calculatedColumnFormula>Sheet1!AB2*Sheet1!$D$21</calculatedColumnFormula>
    </tableColumn>
    <tableColumn id="27" xr3:uid="{3CEC6E7A-BD9D-47A9-83BD-0826956A70D4}" name="2050" dataDxfId="161">
      <calculatedColumnFormula>Sheet1!AC2*Sheet1!$D$21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74F954-EEFC-4F74-B23F-1653DF1642A2}" name="Table4" displayName="Table4" ref="A2:AB5" totalsRowShown="0">
  <autoFilter ref="A2:AB5" xr:uid="{F374F954-EEFC-4F74-B23F-1653DF16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794F3A41-28C1-44E3-AD40-665F34F805C4}" name="Payable Metals in Concentrate (tonne)"/>
    <tableColumn id="28" xr3:uid="{BD512314-49F8-41DC-BAA4-CCF9967F1318}" name="Grand Total" dataDxfId="160">
      <calculatedColumnFormula>SUM(Table4[[#This Row],[2025]:[2050]])</calculatedColumnFormula>
    </tableColumn>
    <tableColumn id="2" xr3:uid="{C6F16F84-4083-4558-8A2C-E2D0257CB2E1}" name="2025" dataDxfId="159">
      <calculatedColumnFormula>Sheet1!D7/Sheet1!$D$21*1000</calculatedColumnFormula>
    </tableColumn>
    <tableColumn id="3" xr3:uid="{343BCAAF-56CC-4A50-8ABE-9104667D95BE}" name="2026" dataDxfId="158">
      <calculatedColumnFormula>Sheet1!E7/Sheet1!$D$21*1000</calculatedColumnFormula>
    </tableColumn>
    <tableColumn id="4" xr3:uid="{6B163413-360A-4202-9521-FBE5D75CF295}" name="2027" dataDxfId="157">
      <calculatedColumnFormula>Sheet1!F7/Sheet1!$D$21*1000</calculatedColumnFormula>
    </tableColumn>
    <tableColumn id="5" xr3:uid="{C5B66F91-28F3-4A90-9500-F0A1DDBA0BD8}" name="2028" dataDxfId="156">
      <calculatedColumnFormula>Sheet1!G7/Sheet1!$D$21*1000</calculatedColumnFormula>
    </tableColumn>
    <tableColumn id="6" xr3:uid="{EC8C8D5C-7C49-4A41-AC4B-8FABC432D19C}" name="2029" dataDxfId="155">
      <calculatedColumnFormula>Sheet1!H7/Sheet1!$D$21*1000</calculatedColumnFormula>
    </tableColumn>
    <tableColumn id="7" xr3:uid="{9B409E1F-E703-4035-A739-BC9933D6C97F}" name="2030" dataDxfId="154">
      <calculatedColumnFormula>Sheet1!I7/Sheet1!$D$21*1000</calculatedColumnFormula>
    </tableColumn>
    <tableColumn id="8" xr3:uid="{EF627F8A-F804-40F6-818B-38047F3DC338}" name="2031" dataDxfId="153">
      <calculatedColumnFormula>Sheet1!J7/Sheet1!$D$21*1000</calculatedColumnFormula>
    </tableColumn>
    <tableColumn id="9" xr3:uid="{FD3371E7-E7FC-4421-91CD-96D1AA5B3DAF}" name="2032" dataDxfId="152">
      <calculatedColumnFormula>Sheet1!K7/Sheet1!$D$21*1000</calculatedColumnFormula>
    </tableColumn>
    <tableColumn id="10" xr3:uid="{F8A4D2BC-37E6-41EB-9E2F-C7A22BC28261}" name="2033" dataDxfId="151">
      <calculatedColumnFormula>Sheet1!L7/Sheet1!$D$21*1000</calculatedColumnFormula>
    </tableColumn>
    <tableColumn id="11" xr3:uid="{2182965B-85BB-433A-AD76-AF0668387D58}" name="2034" dataDxfId="150">
      <calculatedColumnFormula>Sheet1!M7/Sheet1!$D$21*1000</calculatedColumnFormula>
    </tableColumn>
    <tableColumn id="12" xr3:uid="{689184F7-294F-48DC-BBF3-0748CE478406}" name="2035" dataDxfId="149">
      <calculatedColumnFormula>Sheet1!N7/Sheet1!$D$21*1000</calculatedColumnFormula>
    </tableColumn>
    <tableColumn id="13" xr3:uid="{4FB42C4A-4A15-4D0B-AD8C-357783A51A8B}" name="2036" dataDxfId="148">
      <calculatedColumnFormula>Sheet1!O7/Sheet1!$D$21*1000</calculatedColumnFormula>
    </tableColumn>
    <tableColumn id="14" xr3:uid="{A6455077-45BD-4344-8E21-C4F85D71E293}" name="2037" dataDxfId="147">
      <calculatedColumnFormula>Sheet1!P7/Sheet1!$D$21*1000</calculatedColumnFormula>
    </tableColumn>
    <tableColumn id="15" xr3:uid="{18B4E914-478B-4B05-86F5-650792C0BD05}" name="2038" dataDxfId="146">
      <calculatedColumnFormula>Sheet1!Q7/Sheet1!$D$21*1000</calculatedColumnFormula>
    </tableColumn>
    <tableColumn id="16" xr3:uid="{0BBEADA5-49C4-4946-B118-A35C2C54D6FE}" name="2039" dataDxfId="145">
      <calculatedColumnFormula>Sheet1!R7/Sheet1!$D$21*1000</calculatedColumnFormula>
    </tableColumn>
    <tableColumn id="17" xr3:uid="{5F4955BE-9FB6-436E-8BE2-F881C9C83432}" name="2040" dataDxfId="144">
      <calculatedColumnFormula>Sheet1!S7/Sheet1!$D$21*1000</calculatedColumnFormula>
    </tableColumn>
    <tableColumn id="18" xr3:uid="{1B3DF485-1C9C-4EA1-A0E0-6AD56E61329F}" name="2041" dataDxfId="143">
      <calculatedColumnFormula>Sheet1!T7/Sheet1!$D$21*1000</calculatedColumnFormula>
    </tableColumn>
    <tableColumn id="19" xr3:uid="{E54A4208-3681-4382-B603-DA8FC408783F}" name="2042" dataDxfId="142">
      <calculatedColumnFormula>Sheet1!U7/Sheet1!$D$21*1000</calculatedColumnFormula>
    </tableColumn>
    <tableColumn id="20" xr3:uid="{8DDE7EED-6F10-427A-9E5C-A7FB46417008}" name="2043" dataDxfId="141">
      <calculatedColumnFormula>Sheet1!V7/Sheet1!$D$21*1000</calculatedColumnFormula>
    </tableColumn>
    <tableColumn id="21" xr3:uid="{D9823780-8F22-4CE9-91B3-178020760CDC}" name="2044" dataDxfId="140">
      <calculatedColumnFormula>Sheet1!W7/Sheet1!$D$21*1000</calculatedColumnFormula>
    </tableColumn>
    <tableColumn id="22" xr3:uid="{32269A9C-F4C3-4B7E-A34C-18003B7E68BA}" name="2045" dataDxfId="139">
      <calculatedColumnFormula>Sheet1!X7/Sheet1!$D$21*1000</calculatedColumnFormula>
    </tableColumn>
    <tableColumn id="23" xr3:uid="{3079E1C5-00B7-4C45-9E60-D65940049E23}" name="2046" dataDxfId="138">
      <calculatedColumnFormula>Sheet1!Y7/Sheet1!$D$21*1000</calculatedColumnFormula>
    </tableColumn>
    <tableColumn id="24" xr3:uid="{16FDFDBD-21D2-4611-A318-789279CBA050}" name="2047" dataDxfId="137">
      <calculatedColumnFormula>Sheet1!Z7/Sheet1!$D$21*1000</calculatedColumnFormula>
    </tableColumn>
    <tableColumn id="25" xr3:uid="{80A3D049-A8E1-4679-826E-9C53888C377C}" name="2048" dataDxfId="136">
      <calculatedColumnFormula>Sheet1!AA7/Sheet1!$D$21*1000</calculatedColumnFormula>
    </tableColumn>
    <tableColumn id="26" xr3:uid="{E1320F3F-F704-4711-8FFF-ED3EF16C4636}" name="2049" dataDxfId="135">
      <calculatedColumnFormula>Sheet1!AB7/Sheet1!$D$21*1000</calculatedColumnFormula>
    </tableColumn>
    <tableColumn id="27" xr3:uid="{66C5EF3B-DD2C-4106-974C-A99396FF0DCB}" name="2050" dataDxfId="134">
      <calculatedColumnFormula>Sheet1!AC7/Sheet1!$D$21*1000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234C2B-A8D8-4426-87F9-6CF5A372EFCB}" name="Table5" displayName="Table5" ref="A25:AB29" totalsRowCount="1">
  <autoFilter ref="A25:AB28" xr:uid="{C4234C2B-A8D8-4426-87F9-6CF5A372EF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A31B4B07-59B1-4CFA-A3A3-57073F997D6B}" name="2026 Price Scen." totalsRowLabel="Total"/>
    <tableColumn id="28" xr3:uid="{E708DC36-5284-44D0-A6AA-9DDD65FFEA15}" name="Grand Total" totalsRowFunction="sum" dataDxfId="133" totalsRowDxfId="132" dataCellStyle="Comma">
      <calculatedColumnFormula>SUM(Table5[[#This Row],[2025]:[2050]])</calculatedColumnFormula>
    </tableColumn>
    <tableColumn id="2" xr3:uid="{890F3E75-F27D-4248-8116-50A8866D885F}" name="2025" totalsRowFunction="sum" dataDxfId="131" totalsRowDxfId="130">
      <calculatedColumnFormula>C3*C21/1000000</calculatedColumnFormula>
    </tableColumn>
    <tableColumn id="3" xr3:uid="{1BB6F1CF-8997-4DBD-B8B8-9234A8646415}" name="2026" totalsRowFunction="sum" dataDxfId="129" totalsRowDxfId="128">
      <calculatedColumnFormula>D3*D21/1000000</calculatedColumnFormula>
    </tableColumn>
    <tableColumn id="4" xr3:uid="{678F2106-AE3C-4E40-87F1-7F1C5679B847}" name="2027" totalsRowFunction="sum" dataDxfId="127" totalsRowDxfId="126">
      <calculatedColumnFormula>E3*E21/1000000</calculatedColumnFormula>
    </tableColumn>
    <tableColumn id="5" xr3:uid="{72800D57-205A-49A5-92FE-51510DDF4B98}" name="2028" totalsRowFunction="sum" dataDxfId="125" totalsRowDxfId="124">
      <calculatedColumnFormula>F3*F21/1000000</calculatedColumnFormula>
    </tableColumn>
    <tableColumn id="6" xr3:uid="{11EEBFB2-FE80-4B4B-BF7F-DA9BC111705D}" name="2029" totalsRowFunction="sum" dataDxfId="123" totalsRowDxfId="122">
      <calculatedColumnFormula>G3*G21/1000000</calculatedColumnFormula>
    </tableColumn>
    <tableColumn id="7" xr3:uid="{FF89D5C8-3A1D-4719-AE43-E86B327F97EE}" name="2030" totalsRowFunction="sum" dataDxfId="121" totalsRowDxfId="120">
      <calculatedColumnFormula>H3*H21/1000000</calculatedColumnFormula>
    </tableColumn>
    <tableColumn id="8" xr3:uid="{9D621F91-7EC9-4307-964F-ABCF78A52674}" name="2031" totalsRowFunction="sum" dataDxfId="119" totalsRowDxfId="118">
      <calculatedColumnFormula>I3*I21/1000000</calculatedColumnFormula>
    </tableColumn>
    <tableColumn id="9" xr3:uid="{7D4A449B-AE9E-40EA-B83F-BDACDF7C3450}" name="2032" totalsRowFunction="sum" dataDxfId="117" totalsRowDxfId="116">
      <calculatedColumnFormula>J3*J21/1000000</calculatedColumnFormula>
    </tableColumn>
    <tableColumn id="10" xr3:uid="{8186CE82-60CF-46FF-A5AC-C90F9DBEA0E8}" name="2033" totalsRowFunction="sum" dataDxfId="115" totalsRowDxfId="114">
      <calculatedColumnFormula>K3*K21/1000000</calculatedColumnFormula>
    </tableColumn>
    <tableColumn id="11" xr3:uid="{9B60919B-AA2B-4416-8693-B3ACF2200062}" name="2034" totalsRowFunction="sum" dataDxfId="113" totalsRowDxfId="112">
      <calculatedColumnFormula>L3*L21/1000000</calculatedColumnFormula>
    </tableColumn>
    <tableColumn id="12" xr3:uid="{CFE43C63-A5A3-4972-AAC4-95345760EC11}" name="2035" totalsRowFunction="sum" dataDxfId="111" totalsRowDxfId="110">
      <calculatedColumnFormula>M3*M21/1000000</calculatedColumnFormula>
    </tableColumn>
    <tableColumn id="13" xr3:uid="{3A548F2F-D66D-43C6-8CFA-5DEB07AE767A}" name="2036" totalsRowFunction="sum" dataDxfId="109" totalsRowDxfId="108">
      <calculatedColumnFormula>N3*N21/1000000</calculatedColumnFormula>
    </tableColumn>
    <tableColumn id="14" xr3:uid="{FE45E5C9-E660-463C-A4EE-2437C8D4DD17}" name="2037" totalsRowFunction="sum" dataDxfId="107" totalsRowDxfId="106">
      <calculatedColumnFormula>O3*O21/1000000</calculatedColumnFormula>
    </tableColumn>
    <tableColumn id="15" xr3:uid="{A281E8AB-4CAA-4450-80B9-8735EC75DC3E}" name="2038" totalsRowFunction="sum" dataDxfId="105" totalsRowDxfId="104">
      <calculatedColumnFormula>P3*P21/1000000</calculatedColumnFormula>
    </tableColumn>
    <tableColumn id="16" xr3:uid="{8F4F4476-ABA7-4D9E-BDA1-9C12B827645E}" name="2039" totalsRowFunction="sum" dataDxfId="103" totalsRowDxfId="102">
      <calculatedColumnFormula>Q3*Q21/1000000</calculatedColumnFormula>
    </tableColumn>
    <tableColumn id="17" xr3:uid="{D1BCB6B1-493D-475D-BA93-0C434F8E619E}" name="2040" totalsRowFunction="sum" dataDxfId="101" totalsRowDxfId="100">
      <calculatedColumnFormula>R3*R21/1000000</calculatedColumnFormula>
    </tableColumn>
    <tableColumn id="18" xr3:uid="{32A972CB-64A9-44DE-B38F-9EC54BC2CFFC}" name="2041" totalsRowFunction="sum" dataDxfId="99" totalsRowDxfId="98">
      <calculatedColumnFormula>S3*S21/1000000</calculatedColumnFormula>
    </tableColumn>
    <tableColumn id="19" xr3:uid="{ABDCC4B3-E253-409E-8DF0-355CA6815CC0}" name="2042" totalsRowFunction="sum" dataDxfId="97" totalsRowDxfId="96">
      <calculatedColumnFormula>T3*T21/1000000</calculatedColumnFormula>
    </tableColumn>
    <tableColumn id="20" xr3:uid="{87B3E0A6-CC30-4CA6-A72E-708027E52F8D}" name="2043" totalsRowFunction="sum" dataDxfId="95" totalsRowDxfId="94">
      <calculatedColumnFormula>U3*U21/1000000</calculatedColumnFormula>
    </tableColumn>
    <tableColumn id="21" xr3:uid="{0ADDFDA3-44BD-47DF-9393-004F32265236}" name="2044" totalsRowFunction="sum" dataDxfId="93" totalsRowDxfId="92">
      <calculatedColumnFormula>V3*V21/1000000</calculatedColumnFormula>
    </tableColumn>
    <tableColumn id="22" xr3:uid="{7E091E57-9A8E-4832-8B45-22D4B3D67A1F}" name="2045" totalsRowFunction="sum" dataDxfId="91" totalsRowDxfId="90">
      <calculatedColumnFormula>W3*W21/1000000</calculatedColumnFormula>
    </tableColumn>
    <tableColumn id="23" xr3:uid="{39EB872C-2147-4631-91BD-AADA6DDB0A29}" name="2046" totalsRowFunction="sum" dataDxfId="89" totalsRowDxfId="88">
      <calculatedColumnFormula>X3*X21/1000000</calculatedColumnFormula>
    </tableColumn>
    <tableColumn id="24" xr3:uid="{FF5D6152-2067-4ACB-AFE9-9C8FDA843B85}" name="2047" totalsRowFunction="sum" dataDxfId="87" totalsRowDxfId="86">
      <calculatedColumnFormula>Y3*Y21/1000000</calculatedColumnFormula>
    </tableColumn>
    <tableColumn id="25" xr3:uid="{BD4C32C9-5CB2-4A55-8C7B-F637F6C21F94}" name="2048" totalsRowFunction="sum" dataDxfId="85" totalsRowDxfId="84">
      <calculatedColumnFormula>Z3*Z21/1000000</calculatedColumnFormula>
    </tableColumn>
    <tableColumn id="26" xr3:uid="{C4549BBC-2E8F-40DA-8A31-3BC93C759E28}" name="2049" totalsRowFunction="sum" dataDxfId="83" totalsRowDxfId="82">
      <calculatedColumnFormula>AA3*AA21/1000000</calculatedColumnFormula>
    </tableColumn>
    <tableColumn id="27" xr3:uid="{6685B070-4562-4474-B534-80437C7EE32A}" name="2050" totalsRowFunction="sum" dataDxfId="81" totalsRowDxfId="80">
      <calculatedColumnFormula>AB3*AB21/1000000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925FF4-26F1-4B70-B0C4-E94EF60D8307}" name="Table6" displayName="Table6" ref="A20:AB23" totalsRowShown="0" dataDxfId="79" dataCellStyle="Comma">
  <autoFilter ref="A20:AB23" xr:uid="{0D925FF4-26F1-4B70-B0C4-E94EF60D83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4AD78523-773B-46B1-983E-4786E2B9C70C}" name="2026 Price"/>
    <tableColumn id="28" xr3:uid="{B32D7BC1-4EE1-457F-B74C-050624E03746}" name="GT"/>
    <tableColumn id="2" xr3:uid="{E4A27F6D-188A-4864-B5D3-A355C6FA2802}" name="2025" dataDxfId="78" dataCellStyle="Comma"/>
    <tableColumn id="3" xr3:uid="{3A40302A-8C58-459C-BCF2-FDCE65327CDC}" name="2026" dataDxfId="77" dataCellStyle="Comma"/>
    <tableColumn id="4" xr3:uid="{5A011086-5196-46C6-878B-1925374B22CF}" name="2027" dataDxfId="76" dataCellStyle="Comma"/>
    <tableColumn id="5" xr3:uid="{DC27158B-6EF1-420C-850C-68458BCCB159}" name="2028" dataDxfId="75" dataCellStyle="Comma"/>
    <tableColumn id="6" xr3:uid="{2909554D-57BC-44BD-91A3-D85EDC0F9319}" name="2029" dataDxfId="74" dataCellStyle="Comma"/>
    <tableColumn id="7" xr3:uid="{DC23049F-4F3F-4B50-B224-5ECF35FD5D46}" name="2030" dataDxfId="73" dataCellStyle="Comma"/>
    <tableColumn id="8" xr3:uid="{8C74545F-FA75-4DC0-8D4D-9E79757C403F}" name="2031" dataDxfId="72" dataCellStyle="Comma"/>
    <tableColumn id="9" xr3:uid="{A47059C6-DE17-41B0-BF83-181DFCFD3969}" name="2032" dataDxfId="71" dataCellStyle="Comma"/>
    <tableColumn id="10" xr3:uid="{A114C9B5-1495-4761-8EBE-5F5B9C0C83F2}" name="2033" dataDxfId="70" dataCellStyle="Comma"/>
    <tableColumn id="11" xr3:uid="{9D4AAAEB-66DF-45BA-8D09-69893AC7BFFA}" name="2034" dataDxfId="69" dataCellStyle="Comma"/>
    <tableColumn id="12" xr3:uid="{4B242194-E456-446A-926C-D5EBF8A06ACD}" name="2035" dataDxfId="68" dataCellStyle="Comma"/>
    <tableColumn id="13" xr3:uid="{311FE9C6-363A-4164-802C-0C98D8E19091}" name="2036" dataDxfId="67" dataCellStyle="Comma"/>
    <tableColumn id="14" xr3:uid="{7A2279DA-EA35-4047-AB8F-DE16C89E3E98}" name="2037" dataDxfId="66" dataCellStyle="Comma"/>
    <tableColumn id="15" xr3:uid="{753CA0D5-EAB3-4675-BCB7-67E4BE183372}" name="2038" dataDxfId="65" dataCellStyle="Comma"/>
    <tableColumn id="16" xr3:uid="{27F4F7AD-2A58-47D9-9832-65C6F9C7B593}" name="2039" dataDxfId="64" dataCellStyle="Comma"/>
    <tableColumn id="17" xr3:uid="{AAC30F77-500A-463F-A475-5E31A5A22ADB}" name="2040" dataDxfId="63" dataCellStyle="Comma"/>
    <tableColumn id="18" xr3:uid="{32C91310-A397-4C66-BE70-6B77A01B8EBC}" name="2041" dataDxfId="62" dataCellStyle="Comma"/>
    <tableColumn id="19" xr3:uid="{47E79541-0EA9-4E0C-8156-B823417C2ED6}" name="2042" dataDxfId="61" dataCellStyle="Comma"/>
    <tableColumn id="20" xr3:uid="{42E86790-7FC6-4846-B8DB-4E1EBB8D4206}" name="2043" dataDxfId="60" dataCellStyle="Comma"/>
    <tableColumn id="21" xr3:uid="{C19D918D-A574-467F-9218-FBCC9E206624}" name="2044" dataDxfId="59" dataCellStyle="Comma"/>
    <tableColumn id="22" xr3:uid="{DC868E96-BAE1-4A0B-82A7-2C53E4A7719C}" name="2045" dataDxfId="58" dataCellStyle="Comma"/>
    <tableColumn id="23" xr3:uid="{D4690FD5-018C-43C6-839A-8E752FC7C6B8}" name="2046" dataDxfId="57" dataCellStyle="Comma"/>
    <tableColumn id="24" xr3:uid="{6C5BCCBC-3322-429F-8AA8-7BE32D275A72}" name="2047" dataDxfId="56" dataCellStyle="Comma"/>
    <tableColumn id="25" xr3:uid="{99B86DD4-2319-408F-AF80-E61E7D7FC06F}" name="2048" dataDxfId="55" dataCellStyle="Comma"/>
    <tableColumn id="26" xr3:uid="{010CA34B-D610-40A8-B455-2BA382A97D72}" name="2049" dataDxfId="54" dataCellStyle="Comma"/>
    <tableColumn id="27" xr3:uid="{F65079C4-C436-47B9-9FA6-F84BFC195DB1}" name="2050" dataDxfId="53" dataCellStyle="Comm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E123-57CD-46A9-B7DE-1070AC7BF775}">
  <dimension ref="A1:AC21"/>
  <sheetViews>
    <sheetView topLeftCell="R1" workbookViewId="0">
      <selection activeCell="D12" sqref="D12"/>
    </sheetView>
  </sheetViews>
  <sheetFormatPr defaultRowHeight="14.4" x14ac:dyDescent="0.3"/>
  <cols>
    <col min="1" max="1" width="25.5546875" bestFit="1" customWidth="1"/>
    <col min="2" max="3" width="8.88671875" customWidth="1"/>
    <col min="4" max="4" width="11.77734375" bestFit="1" customWidth="1"/>
    <col min="5" max="5" width="9.21875" bestFit="1" customWidth="1"/>
  </cols>
  <sheetData>
    <row r="1" spans="1:29" s="4" customFormat="1" x14ac:dyDescent="0.3">
      <c r="A1" s="4" t="s">
        <v>0</v>
      </c>
      <c r="C1" s="5"/>
      <c r="D1" s="4">
        <v>2025</v>
      </c>
      <c r="E1" s="4">
        <v>2026</v>
      </c>
      <c r="F1" s="4">
        <v>2027</v>
      </c>
      <c r="G1" s="4">
        <v>2028</v>
      </c>
      <c r="H1" s="4">
        <v>2029</v>
      </c>
      <c r="I1" s="4">
        <v>2030</v>
      </c>
      <c r="J1" s="4">
        <v>2031</v>
      </c>
      <c r="K1" s="4">
        <v>2032</v>
      </c>
      <c r="L1" s="4">
        <v>2033</v>
      </c>
      <c r="M1" s="4">
        <v>2034</v>
      </c>
      <c r="N1" s="4">
        <v>2035</v>
      </c>
      <c r="O1" s="4">
        <v>2036</v>
      </c>
      <c r="P1" s="4">
        <v>2037</v>
      </c>
      <c r="Q1" s="4">
        <v>2038</v>
      </c>
      <c r="R1" s="4">
        <v>2039</v>
      </c>
      <c r="S1" s="4">
        <v>2040</v>
      </c>
      <c r="T1" s="4">
        <v>2041</v>
      </c>
      <c r="U1" s="4">
        <v>2042</v>
      </c>
      <c r="V1" s="4">
        <v>2043</v>
      </c>
      <c r="W1" s="4">
        <v>2044</v>
      </c>
      <c r="X1" s="4">
        <v>2045</v>
      </c>
      <c r="Y1" s="4">
        <v>2046</v>
      </c>
      <c r="Z1" s="4">
        <v>2047</v>
      </c>
      <c r="AA1" s="4">
        <v>2048</v>
      </c>
      <c r="AB1" s="4">
        <v>2049</v>
      </c>
      <c r="AC1" s="4">
        <v>2050</v>
      </c>
    </row>
    <row r="2" spans="1:29" x14ac:dyDescent="0.3">
      <c r="A2" t="s">
        <v>9</v>
      </c>
      <c r="C2" s="1"/>
      <c r="D2" s="2">
        <v>4.383108294692839</v>
      </c>
      <c r="E2" s="2">
        <v>4.4205521858541967</v>
      </c>
      <c r="F2" s="2">
        <v>4.5015295073533972</v>
      </c>
      <c r="G2" s="2">
        <v>4.431884919982477</v>
      </c>
      <c r="H2" s="2">
        <v>4.1632163436392435</v>
      </c>
      <c r="I2" s="2">
        <v>4.1916824182616859</v>
      </c>
      <c r="J2" s="2">
        <v>4.295652372782464</v>
      </c>
      <c r="K2" s="2">
        <v>4.295652372782464</v>
      </c>
      <c r="L2" s="2">
        <v>4.295652372782464</v>
      </c>
      <c r="M2" s="2">
        <v>4.295652372782464</v>
      </c>
      <c r="N2" s="2">
        <v>4.295652372782464</v>
      </c>
      <c r="O2" s="2">
        <v>4.295652372782464</v>
      </c>
      <c r="P2" s="2">
        <v>4.295652372782464</v>
      </c>
      <c r="Q2" s="2">
        <v>4.295652372782464</v>
      </c>
      <c r="R2" s="2">
        <v>4.295652372782464</v>
      </c>
      <c r="S2" s="2">
        <v>4.295652372782464</v>
      </c>
      <c r="T2" s="2">
        <v>4.295652372782464</v>
      </c>
      <c r="U2" s="2">
        <v>4.295652372782464</v>
      </c>
      <c r="V2" s="2">
        <v>4.295652372782464</v>
      </c>
      <c r="W2" s="2">
        <v>4.295652372782464</v>
      </c>
      <c r="X2" s="2">
        <v>4.295652372782464</v>
      </c>
      <c r="Y2" s="2">
        <v>4.295652372782464</v>
      </c>
      <c r="Z2" s="2">
        <v>4.295652372782464</v>
      </c>
      <c r="AA2" s="2">
        <v>4.295652372782464</v>
      </c>
      <c r="AB2" s="2">
        <v>4.295652372782464</v>
      </c>
      <c r="AC2" s="2">
        <v>4.295652372782464</v>
      </c>
    </row>
    <row r="3" spans="1:29" x14ac:dyDescent="0.3">
      <c r="A3" t="s">
        <v>10</v>
      </c>
      <c r="C3" s="1"/>
      <c r="D3" s="1">
        <v>2472.7804497182624</v>
      </c>
      <c r="E3" s="1">
        <v>2638.3392952199952</v>
      </c>
      <c r="F3" s="1">
        <v>2388.7281731730181</v>
      </c>
      <c r="G3" s="1">
        <v>2284.0966054691457</v>
      </c>
      <c r="H3" s="1">
        <v>2148.1642372548572</v>
      </c>
      <c r="I3" s="1">
        <v>2120.2067489759261</v>
      </c>
      <c r="J3" s="1">
        <v>2198.9906293897775</v>
      </c>
      <c r="K3" s="1">
        <v>2198.9906293897775</v>
      </c>
      <c r="L3" s="1">
        <v>2198.9906293897775</v>
      </c>
      <c r="M3" s="1">
        <v>2198.9906293897775</v>
      </c>
      <c r="N3" s="1">
        <v>2198.9906293897775</v>
      </c>
      <c r="O3" s="1">
        <v>2198.9906293897775</v>
      </c>
      <c r="P3" s="1">
        <v>2198.9906293897775</v>
      </c>
      <c r="Q3" s="1">
        <v>2198.9906293897775</v>
      </c>
      <c r="R3" s="1">
        <v>2198.9906293897775</v>
      </c>
      <c r="S3" s="1">
        <v>2198.9906293897775</v>
      </c>
      <c r="T3" s="1">
        <v>2198.9906293897775</v>
      </c>
      <c r="U3" s="1">
        <v>2198.9906293897775</v>
      </c>
      <c r="V3" s="1">
        <v>2198.9906293897775</v>
      </c>
      <c r="W3" s="1">
        <v>2198.9906293897775</v>
      </c>
      <c r="X3" s="1">
        <v>2198.9906293897775</v>
      </c>
      <c r="Y3" s="1">
        <v>2198.9906293897775</v>
      </c>
      <c r="Z3" s="1">
        <v>2198.9906293897775</v>
      </c>
      <c r="AA3" s="1">
        <v>2198.9906293897775</v>
      </c>
      <c r="AB3" s="1">
        <v>2198.9906293897775</v>
      </c>
      <c r="AC3" s="1">
        <v>2198.9906293897775</v>
      </c>
    </row>
    <row r="4" spans="1:29" x14ac:dyDescent="0.3">
      <c r="A4" t="s">
        <v>11</v>
      </c>
      <c r="C4" s="1"/>
      <c r="D4" s="2">
        <v>29.252832688201533</v>
      </c>
      <c r="E4" s="2">
        <v>30.301095047014304</v>
      </c>
      <c r="F4" s="2">
        <v>28.76644553703526</v>
      </c>
      <c r="G4" s="2">
        <v>26.769949858406314</v>
      </c>
      <c r="H4" s="2">
        <v>25.03862960908879</v>
      </c>
      <c r="I4" s="2">
        <v>26.117904910752475</v>
      </c>
      <c r="J4" s="2">
        <v>26.538338162497311</v>
      </c>
      <c r="K4" s="2">
        <v>26.538338162497311</v>
      </c>
      <c r="L4" s="2">
        <v>26.538338162497311</v>
      </c>
      <c r="M4" s="2">
        <v>26.538338162497311</v>
      </c>
      <c r="N4" s="2">
        <v>26.538338162497311</v>
      </c>
      <c r="O4" s="2">
        <v>26.538338162497311</v>
      </c>
      <c r="P4" s="2">
        <v>26.538338162497311</v>
      </c>
      <c r="Q4" s="2">
        <v>26.538338162497311</v>
      </c>
      <c r="R4" s="2">
        <v>26.538338162497311</v>
      </c>
      <c r="S4" s="2">
        <v>26.538338162497311</v>
      </c>
      <c r="T4" s="2">
        <v>26.538338162497311</v>
      </c>
      <c r="U4" s="2">
        <v>26.538338162497311</v>
      </c>
      <c r="V4" s="2">
        <v>26.538338162497311</v>
      </c>
      <c r="W4" s="2">
        <v>26.538338162497311</v>
      </c>
      <c r="X4" s="2">
        <v>26.538338162497311</v>
      </c>
      <c r="Y4" s="2">
        <v>26.538338162497311</v>
      </c>
      <c r="Z4" s="2">
        <v>26.538338162497311</v>
      </c>
      <c r="AA4" s="2">
        <v>26.538338162497311</v>
      </c>
      <c r="AB4" s="2">
        <v>26.538338162497311</v>
      </c>
      <c r="AC4" s="2">
        <v>26.538338162497311</v>
      </c>
    </row>
    <row r="5" spans="1:29" x14ac:dyDescent="0.3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s="4" customFormat="1" x14ac:dyDescent="0.3">
      <c r="A6" s="4" t="s">
        <v>4</v>
      </c>
    </row>
    <row r="7" spans="1:29" x14ac:dyDescent="0.3">
      <c r="A7" t="s">
        <v>1</v>
      </c>
      <c r="B7" t="s">
        <v>5</v>
      </c>
      <c r="C7" s="1">
        <v>8078.750509400501</v>
      </c>
      <c r="D7" s="1">
        <v>330.20722323423485</v>
      </c>
      <c r="E7" s="1">
        <v>372.38738122389805</v>
      </c>
      <c r="F7" s="1">
        <v>425.8073488156931</v>
      </c>
      <c r="G7" s="1">
        <v>454.9693068625412</v>
      </c>
      <c r="H7" s="1">
        <v>498.98187373021489</v>
      </c>
      <c r="I7" s="1">
        <v>531.15387893088212</v>
      </c>
      <c r="J7" s="1">
        <v>546.76618464930073</v>
      </c>
      <c r="K7" s="1">
        <v>509.41580907402454</v>
      </c>
      <c r="L7" s="1">
        <v>464.61429537275308</v>
      </c>
      <c r="M7" s="1">
        <v>415.11110018145467</v>
      </c>
      <c r="N7" s="1">
        <v>397.30336705888374</v>
      </c>
      <c r="O7" s="1">
        <v>401.10348016575824</v>
      </c>
      <c r="P7" s="1">
        <v>410.44214496157252</v>
      </c>
      <c r="Q7" s="1">
        <v>419.08194089056451</v>
      </c>
      <c r="R7" s="1">
        <v>422.66013175796229</v>
      </c>
      <c r="S7" s="1">
        <v>344.03512735009235</v>
      </c>
      <c r="T7" s="1">
        <v>243.01359823400875</v>
      </c>
      <c r="U7" s="1">
        <v>155.46731591777504</v>
      </c>
      <c r="V7" s="1">
        <v>111.71186506463344</v>
      </c>
      <c r="W7" s="1">
        <v>103.87617105364416</v>
      </c>
      <c r="X7" s="1">
        <v>85.268963538013551</v>
      </c>
      <c r="Y7" s="1">
        <v>83.587710773937559</v>
      </c>
      <c r="Z7" s="1">
        <v>84.353223919380895</v>
      </c>
      <c r="AA7" s="1">
        <v>103.07934078014438</v>
      </c>
      <c r="AB7" s="1">
        <v>117.59366718478651</v>
      </c>
      <c r="AC7" s="1">
        <v>46.758058674346316</v>
      </c>
    </row>
    <row r="8" spans="1:29" x14ac:dyDescent="0.3">
      <c r="A8" t="s">
        <v>2</v>
      </c>
      <c r="B8" t="s">
        <v>6</v>
      </c>
      <c r="C8" s="1">
        <v>7144.0176286219312</v>
      </c>
      <c r="D8" s="1">
        <v>420.82822194143063</v>
      </c>
      <c r="E8" s="1">
        <v>380.15047023653432</v>
      </c>
      <c r="F8" s="1">
        <v>254.69341026320495</v>
      </c>
      <c r="G8" s="1">
        <v>278.49646278554053</v>
      </c>
      <c r="H8" s="1">
        <v>331.57828399049328</v>
      </c>
      <c r="I8" s="1">
        <v>419.539134841855</v>
      </c>
      <c r="J8" s="1">
        <v>395.43664776073695</v>
      </c>
      <c r="K8" s="1">
        <v>379.87473544263219</v>
      </c>
      <c r="L8" s="1">
        <v>308.3382110700274</v>
      </c>
      <c r="M8" s="1">
        <v>237.3960232066847</v>
      </c>
      <c r="N8" s="1">
        <v>261.77209418566554</v>
      </c>
      <c r="O8" s="1">
        <v>245.28287431104798</v>
      </c>
      <c r="P8" s="1">
        <v>267.2185393602154</v>
      </c>
      <c r="Q8" s="1">
        <v>301.78826479690406</v>
      </c>
      <c r="R8" s="1">
        <v>332.48715210529753</v>
      </c>
      <c r="S8" s="1">
        <v>559.91633926492682</v>
      </c>
      <c r="T8" s="1">
        <v>118.57577658046701</v>
      </c>
      <c r="U8" s="1">
        <v>126.59872349759691</v>
      </c>
      <c r="V8" s="1">
        <v>101.95344586635858</v>
      </c>
      <c r="W8" s="1">
        <v>51.382138306997454</v>
      </c>
      <c r="X8" s="1">
        <v>94.943199029899304</v>
      </c>
      <c r="Y8" s="1">
        <v>113.88726736431141</v>
      </c>
      <c r="Z8" s="1">
        <v>205.87778344370233</v>
      </c>
      <c r="AA8" s="1">
        <v>286.95897599227726</v>
      </c>
      <c r="AB8" s="1">
        <v>540.29184987122471</v>
      </c>
      <c r="AC8" s="1">
        <v>128.75160310589789</v>
      </c>
    </row>
    <row r="9" spans="1:29" x14ac:dyDescent="0.3">
      <c r="A9" t="s">
        <v>3</v>
      </c>
      <c r="B9" t="s">
        <v>6</v>
      </c>
      <c r="C9" s="1">
        <v>44781.590872341418</v>
      </c>
      <c r="D9" s="1">
        <v>1959.3394108900823</v>
      </c>
      <c r="E9" s="1">
        <v>2056.695892844707</v>
      </c>
      <c r="F9" s="1">
        <v>2258.6824796914229</v>
      </c>
      <c r="G9" s="1">
        <v>2425.7970586557099</v>
      </c>
      <c r="H9" s="1">
        <v>2669.2717196925669</v>
      </c>
      <c r="I9" s="1">
        <v>3030.6803952128635</v>
      </c>
      <c r="J9" s="1">
        <v>3129.8335368449748</v>
      </c>
      <c r="K9" s="1">
        <v>2925.8197501470668</v>
      </c>
      <c r="L9" s="1">
        <v>2598.9761592726186</v>
      </c>
      <c r="M9" s="1">
        <v>2280.0983834188191</v>
      </c>
      <c r="N9" s="1">
        <v>2281.4321957995185</v>
      </c>
      <c r="O9" s="1">
        <v>2118.8259352124123</v>
      </c>
      <c r="P9" s="1">
        <v>2055.5416641707129</v>
      </c>
      <c r="Q9" s="1">
        <v>2102.9444005956689</v>
      </c>
      <c r="R9" s="1">
        <v>2105.9340071131446</v>
      </c>
      <c r="S9" s="1">
        <v>1744.891349650037</v>
      </c>
      <c r="T9" s="1">
        <v>1111.1580399588543</v>
      </c>
      <c r="U9" s="1">
        <v>893.73815262249343</v>
      </c>
      <c r="V9" s="1">
        <v>614.86208079090022</v>
      </c>
      <c r="W9" s="1">
        <v>553.0877985670229</v>
      </c>
      <c r="X9" s="1">
        <v>573.31808395738233</v>
      </c>
      <c r="Y9" s="1">
        <v>610.13116105581992</v>
      </c>
      <c r="Z9" s="1">
        <v>637.79682638923282</v>
      </c>
      <c r="AA9" s="1">
        <v>764.40742862258708</v>
      </c>
      <c r="AB9" s="1">
        <v>889.21736949072954</v>
      </c>
      <c r="AC9" s="1">
        <v>389.10959167405849</v>
      </c>
    </row>
    <row r="10" spans="1:29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4" customFormat="1" x14ac:dyDescent="0.3">
      <c r="A11" s="4" t="s">
        <v>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3">
      <c r="A12" t="s">
        <v>1</v>
      </c>
      <c r="B12" s="3" t="s">
        <v>8</v>
      </c>
      <c r="C12" s="1">
        <v>76736.810824389089</v>
      </c>
      <c r="D12" s="1">
        <v>3190.8253199353144</v>
      </c>
      <c r="E12" s="1">
        <v>3629.1568397718547</v>
      </c>
      <c r="F12" s="1">
        <v>4225.7861285051304</v>
      </c>
      <c r="G12" s="1">
        <v>4445.3384657660372</v>
      </c>
      <c r="H12" s="1">
        <v>4579.8157757666168</v>
      </c>
      <c r="I12" s="1">
        <v>4908.4343630076473</v>
      </c>
      <c r="J12" s="1">
        <v>5178.0356412211868</v>
      </c>
      <c r="K12" s="1">
        <v>4824.3166633992014</v>
      </c>
      <c r="L12" s="1">
        <v>4400.0332288363297</v>
      </c>
      <c r="M12" s="1">
        <v>3931.2234958070576</v>
      </c>
      <c r="N12" s="1">
        <v>3762.579056215076</v>
      </c>
      <c r="O12" s="1">
        <v>3798.5672384774612</v>
      </c>
      <c r="P12" s="1">
        <v>3887.0071246879802</v>
      </c>
      <c r="Q12" s="1">
        <v>3968.8285183827875</v>
      </c>
      <c r="R12" s="1">
        <v>4002.7150321480121</v>
      </c>
      <c r="S12" s="1">
        <v>3258.113250718799</v>
      </c>
      <c r="T12" s="1">
        <v>2301.4098316343511</v>
      </c>
      <c r="U12" s="1">
        <v>1472.3209398612958</v>
      </c>
      <c r="V12" s="1">
        <v>1057.9440263354695</v>
      </c>
      <c r="W12" s="1">
        <v>983.73771292084234</v>
      </c>
      <c r="X12" s="1">
        <v>807.52201706296341</v>
      </c>
      <c r="Y12" s="1">
        <v>791.60006179451364</v>
      </c>
      <c r="Z12" s="1">
        <v>798.8496951153295</v>
      </c>
      <c r="AA12" s="1">
        <v>976.19149724030899</v>
      </c>
      <c r="AB12" s="1">
        <v>1113.6464122324644</v>
      </c>
      <c r="AC12" s="1">
        <v>442.81248754505685</v>
      </c>
    </row>
    <row r="13" spans="1:29" x14ac:dyDescent="0.3">
      <c r="A13" t="s">
        <v>2</v>
      </c>
      <c r="B13" s="3" t="s">
        <v>8</v>
      </c>
      <c r="C13" s="1">
        <v>16013.985673189947</v>
      </c>
      <c r="D13" s="1">
        <f t="shared" ref="D13:AC13" si="0">D3*D8/1000</f>
        <v>1040.6157999064676</v>
      </c>
      <c r="E13" s="1">
        <f t="shared" si="0"/>
        <v>1002.9659237214076</v>
      </c>
      <c r="F13" s="1">
        <f t="shared" si="0"/>
        <v>608.39332461723166</v>
      </c>
      <c r="G13" s="1">
        <f t="shared" si="0"/>
        <v>636.11282528361733</v>
      </c>
      <c r="H13" s="1">
        <f t="shared" si="0"/>
        <v>712.28461151871238</v>
      </c>
      <c r="I13" s="1">
        <f t="shared" si="0"/>
        <v>889.50970515122208</v>
      </c>
      <c r="J13" s="1">
        <f t="shared" si="0"/>
        <v>869.56148294316665</v>
      </c>
      <c r="K13" s="1">
        <f t="shared" si="0"/>
        <v>835.34098358026893</v>
      </c>
      <c r="L13" s="1">
        <f t="shared" si="0"/>
        <v>678.03283682579752</v>
      </c>
      <c r="M13" s="1">
        <f t="shared" si="0"/>
        <v>522.03163048589784</v>
      </c>
      <c r="N13" s="1">
        <f t="shared" si="0"/>
        <v>575.63438215001668</v>
      </c>
      <c r="O13" s="1">
        <f t="shared" si="0"/>
        <v>539.37474215978511</v>
      </c>
      <c r="P13" s="1">
        <f t="shared" si="0"/>
        <v>587.61106405233704</v>
      </c>
      <c r="Q13" s="1">
        <f t="shared" si="0"/>
        <v>663.62956634819284</v>
      </c>
      <c r="R13" s="1">
        <f t="shared" si="0"/>
        <v>731.13613187204294</v>
      </c>
      <c r="S13" s="1">
        <f t="shared" si="0"/>
        <v>1231.2507832858016</v>
      </c>
      <c r="T13" s="1">
        <f t="shared" si="0"/>
        <v>260.7470215730628</v>
      </c>
      <c r="U13" s="1">
        <f t="shared" si="0"/>
        <v>278.38940666392307</v>
      </c>
      <c r="V13" s="1">
        <f t="shared" si="0"/>
        <v>224.19467209412048</v>
      </c>
      <c r="W13" s="1">
        <f t="shared" si="0"/>
        <v>112.98884065509692</v>
      </c>
      <c r="X13" s="1">
        <f t="shared" si="0"/>
        <v>208.77920499103718</v>
      </c>
      <c r="Y13" s="1">
        <f t="shared" si="0"/>
        <v>250.437033740929</v>
      </c>
      <c r="Z13" s="1">
        <f t="shared" si="0"/>
        <v>452.72331659223931</v>
      </c>
      <c r="AA13" s="1">
        <f t="shared" si="0"/>
        <v>631.02009922630384</v>
      </c>
      <c r="AB13" s="1">
        <f t="shared" si="0"/>
        <v>1188.0967150024917</v>
      </c>
      <c r="AC13" s="1">
        <f t="shared" si="0"/>
        <v>283.12356874878122</v>
      </c>
    </row>
    <row r="14" spans="1:29" x14ac:dyDescent="0.3">
      <c r="A14" t="s">
        <v>3</v>
      </c>
      <c r="B14" s="3" t="s">
        <v>8</v>
      </c>
      <c r="C14" s="1">
        <v>1201.8035663772898</v>
      </c>
      <c r="D14" s="1">
        <v>57.316227966166899</v>
      </c>
      <c r="E14" s="1">
        <v>62.320137731891414</v>
      </c>
      <c r="F14" s="1">
        <v>64.974266537499062</v>
      </c>
      <c r="G14" s="1">
        <v>64.938465626882873</v>
      </c>
      <c r="H14" s="1">
        <v>66.834905915397655</v>
      </c>
      <c r="I14" s="1">
        <v>79.155022377051296</v>
      </c>
      <c r="J14" s="1">
        <v>83.060580793116927</v>
      </c>
      <c r="K14" s="1">
        <v>77.646393931916251</v>
      </c>
      <c r="L14" s="1">
        <v>68.972508191045222</v>
      </c>
      <c r="M14" s="1">
        <v>60.51002194293207</v>
      </c>
      <c r="N14" s="1">
        <v>60.545419106936393</v>
      </c>
      <c r="O14" s="1">
        <v>56.230119176136618</v>
      </c>
      <c r="P14" s="1">
        <v>54.550659790864863</v>
      </c>
      <c r="Q14" s="1">
        <v>55.808649639938068</v>
      </c>
      <c r="R14" s="1">
        <v>55.887988828671652</v>
      </c>
      <c r="S14" s="1">
        <v>46.30651669382901</v>
      </c>
      <c r="T14" s="1">
        <v>29.488287816405773</v>
      </c>
      <c r="U14" s="1">
        <v>23.718325323021364</v>
      </c>
      <c r="V14" s="1">
        <v>16.317417823325652</v>
      </c>
      <c r="W14" s="1">
        <v>14.678031031922851</v>
      </c>
      <c r="X14" s="1">
        <v>15.214909186736037</v>
      </c>
      <c r="Y14" s="1">
        <v>16.191867075576461</v>
      </c>
      <c r="Z14" s="1">
        <v>16.926067857685048</v>
      </c>
      <c r="AA14" s="1">
        <v>20.28610283471124</v>
      </c>
      <c r="AB14" s="1">
        <v>23.5983512515113</v>
      </c>
      <c r="AC14" s="1">
        <v>10.326321926117412</v>
      </c>
    </row>
    <row r="15" spans="1:29" x14ac:dyDescent="0.3">
      <c r="A15" t="s">
        <v>7</v>
      </c>
      <c r="B15" s="3" t="s">
        <v>8</v>
      </c>
      <c r="C15" s="1">
        <v>93952.600063956343</v>
      </c>
      <c r="D15" s="1">
        <v>4288.7573478079485</v>
      </c>
      <c r="E15" s="1">
        <v>4694.442901225153</v>
      </c>
      <c r="F15" s="1">
        <v>4899.1537196598611</v>
      </c>
      <c r="G15" s="1">
        <v>5146.3897566765372</v>
      </c>
      <c r="H15" s="1">
        <v>5358.9352932007268</v>
      </c>
      <c r="I15" s="1">
        <v>5877.0990905359204</v>
      </c>
      <c r="J15" s="1">
        <v>6130.6577049574707</v>
      </c>
      <c r="K15" s="1">
        <v>5737.3040409113864</v>
      </c>
      <c r="L15" s="1">
        <v>5147.0385738531731</v>
      </c>
      <c r="M15" s="1">
        <v>4513.7651482358879</v>
      </c>
      <c r="N15" s="1">
        <v>4398.7588574720294</v>
      </c>
      <c r="O15" s="1">
        <v>4394.1720998133824</v>
      </c>
      <c r="P15" s="1">
        <v>4529.1688485311824</v>
      </c>
      <c r="Q15" s="1">
        <v>4688.266734370919</v>
      </c>
      <c r="R15" s="1">
        <v>4789.7391528487269</v>
      </c>
      <c r="S15" s="1">
        <v>4535.670550698429</v>
      </c>
      <c r="T15" s="1">
        <v>2591.6451410238196</v>
      </c>
      <c r="U15" s="1">
        <v>1774.4286718482404</v>
      </c>
      <c r="V15" s="1">
        <v>1298.4561162529158</v>
      </c>
      <c r="W15" s="1">
        <v>1111.4045846078623</v>
      </c>
      <c r="X15" s="1">
        <v>1031.5161312407367</v>
      </c>
      <c r="Y15" s="1">
        <v>1058.2289626110191</v>
      </c>
      <c r="Z15" s="1">
        <v>1268.4990795652539</v>
      </c>
      <c r="AA15" s="1">
        <v>1627.497699301324</v>
      </c>
      <c r="AB15" s="1">
        <v>2325.3414784864672</v>
      </c>
      <c r="AC15" s="1">
        <v>736.26237821995551</v>
      </c>
    </row>
    <row r="20" spans="3:4" x14ac:dyDescent="0.3">
      <c r="C20" t="s">
        <v>12</v>
      </c>
      <c r="D20" s="6">
        <v>2204.62</v>
      </c>
    </row>
    <row r="21" spans="3:4" x14ac:dyDescent="0.3">
      <c r="C21" t="s">
        <v>17</v>
      </c>
      <c r="D21" s="6">
        <v>32150.75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EC81-90E4-4A51-9787-BE1E112A7E5F}">
  <dimension ref="A1:AA25"/>
  <sheetViews>
    <sheetView workbookViewId="0">
      <selection activeCell="C21" sqref="C21"/>
    </sheetView>
  </sheetViews>
  <sheetFormatPr defaultRowHeight="14.4" x14ac:dyDescent="0.3"/>
  <cols>
    <col min="1" max="1" width="32.88671875" bestFit="1" customWidth="1"/>
    <col min="2" max="27" width="21" bestFit="1" customWidth="1"/>
  </cols>
  <sheetData>
    <row r="1" spans="1:27" x14ac:dyDescent="0.3">
      <c r="A1" s="4" t="s">
        <v>0</v>
      </c>
      <c r="B1" s="4">
        <v>2025</v>
      </c>
      <c r="C1" s="4">
        <v>2026</v>
      </c>
      <c r="D1" s="4">
        <v>2027</v>
      </c>
      <c r="E1" s="4">
        <v>2028</v>
      </c>
      <c r="F1" s="4">
        <v>2029</v>
      </c>
      <c r="G1" s="4">
        <v>2030</v>
      </c>
      <c r="H1" s="4">
        <v>2031</v>
      </c>
      <c r="I1" s="4">
        <v>2032</v>
      </c>
      <c r="J1" s="4">
        <v>2033</v>
      </c>
      <c r="K1" s="4">
        <v>2034</v>
      </c>
      <c r="L1" s="4">
        <v>2035</v>
      </c>
      <c r="M1" s="4">
        <v>2036</v>
      </c>
      <c r="N1" s="4">
        <v>2037</v>
      </c>
      <c r="O1" s="4">
        <v>2038</v>
      </c>
      <c r="P1" s="4">
        <v>2039</v>
      </c>
      <c r="Q1" s="4">
        <v>2040</v>
      </c>
      <c r="R1" s="4">
        <v>2041</v>
      </c>
      <c r="S1" s="4">
        <v>2042</v>
      </c>
      <c r="T1" s="4">
        <v>2043</v>
      </c>
      <c r="U1" s="4">
        <v>2044</v>
      </c>
      <c r="V1" s="4">
        <v>2045</v>
      </c>
      <c r="W1" s="4">
        <v>2046</v>
      </c>
      <c r="X1" s="4">
        <v>2047</v>
      </c>
      <c r="Y1" s="4">
        <v>2048</v>
      </c>
      <c r="Z1" s="4">
        <v>2049</v>
      </c>
      <c r="AA1" s="4">
        <v>2050</v>
      </c>
    </row>
    <row r="2" spans="1:27" x14ac:dyDescent="0.3">
      <c r="A2" t="s">
        <v>13</v>
      </c>
      <c r="B2" s="1">
        <f>Sheet1!D2*Sheet1!$D$20</f>
        <v>9663.0882086457259</v>
      </c>
      <c r="C2" s="1">
        <f>Sheet1!E2*Sheet1!$D$20</f>
        <v>9745.6377599778789</v>
      </c>
      <c r="D2" s="1">
        <f>Sheet1!F2*Sheet1!$D$20</f>
        <v>9924.1619825014459</v>
      </c>
      <c r="E2" s="1">
        <f>Sheet1!G2*Sheet1!$D$20</f>
        <v>9770.6221322917681</v>
      </c>
      <c r="F2" s="1">
        <f>Sheet1!H2*Sheet1!$D$20</f>
        <v>9178.3100155139491</v>
      </c>
      <c r="G2" s="1">
        <f>Sheet1!I2*Sheet1!$D$20</f>
        <v>9241.066892948078</v>
      </c>
      <c r="H2" s="1">
        <f>Sheet1!J2*Sheet1!$D$20</f>
        <v>9470.2811340836761</v>
      </c>
      <c r="I2" s="1">
        <f>Sheet1!K2*Sheet1!$D$20</f>
        <v>9470.2811340836761</v>
      </c>
      <c r="J2" s="1">
        <f>Sheet1!L2*Sheet1!$D$20</f>
        <v>9470.2811340836761</v>
      </c>
      <c r="K2" s="1">
        <f>Sheet1!M2*Sheet1!$D$20</f>
        <v>9470.2811340836761</v>
      </c>
      <c r="L2" s="1">
        <f>Sheet1!N2*Sheet1!$D$20</f>
        <v>9470.2811340836761</v>
      </c>
      <c r="M2" s="1">
        <f>Sheet1!O2*Sheet1!$D$20</f>
        <v>9470.2811340836761</v>
      </c>
      <c r="N2" s="1">
        <f>Sheet1!P2*Sheet1!$D$20</f>
        <v>9470.2811340836761</v>
      </c>
      <c r="O2" s="1">
        <f>Sheet1!Q2*Sheet1!$D$20</f>
        <v>9470.2811340836761</v>
      </c>
      <c r="P2" s="1">
        <f>Sheet1!R2*Sheet1!$D$20</f>
        <v>9470.2811340836761</v>
      </c>
      <c r="Q2" s="1">
        <f>Sheet1!S2*Sheet1!$D$20</f>
        <v>9470.2811340836761</v>
      </c>
      <c r="R2" s="1">
        <f>Sheet1!T2*Sheet1!$D$20</f>
        <v>9470.2811340836761</v>
      </c>
      <c r="S2" s="1">
        <f>Sheet1!U2*Sheet1!$D$20</f>
        <v>9470.2811340836761</v>
      </c>
      <c r="T2" s="1">
        <f>Sheet1!V2*Sheet1!$D$20</f>
        <v>9470.2811340836761</v>
      </c>
      <c r="U2" s="1">
        <f>Sheet1!W2*Sheet1!$D$20</f>
        <v>9470.2811340836761</v>
      </c>
      <c r="V2" s="1">
        <f>Sheet1!X2*Sheet1!$D$20</f>
        <v>9470.2811340836761</v>
      </c>
      <c r="W2" s="1">
        <f>Sheet1!Y2*Sheet1!$D$20</f>
        <v>9470.2811340836761</v>
      </c>
      <c r="X2" s="1">
        <f>Sheet1!Z2*Sheet1!$D$20</f>
        <v>9470.2811340836761</v>
      </c>
      <c r="Y2" s="1">
        <f>Sheet1!AA2*Sheet1!$D$20</f>
        <v>9470.2811340836761</v>
      </c>
      <c r="Z2" s="1">
        <f>Sheet1!AB2*Sheet1!$D$20</f>
        <v>9470.2811340836761</v>
      </c>
      <c r="AA2" s="1">
        <f>Sheet1!AC2*Sheet1!$D$20</f>
        <v>9470.2811340836761</v>
      </c>
    </row>
    <row r="3" spans="1:27" x14ac:dyDescent="0.3">
      <c r="A3" t="s">
        <v>15</v>
      </c>
      <c r="B3" s="1">
        <f>Sheet1!D3*Sheet1!$D$21</f>
        <v>79501746.043779418</v>
      </c>
      <c r="C3" s="1">
        <f>Sheet1!E3*Sheet1!$D$21</f>
        <v>84824587.095794261</v>
      </c>
      <c r="D3" s="1">
        <f>Sheet1!F3*Sheet1!$D$21</f>
        <v>76799402.313642412</v>
      </c>
      <c r="E3" s="1">
        <f>Sheet1!G3*Sheet1!$D$21</f>
        <v>73435418.938287139</v>
      </c>
      <c r="F3" s="1">
        <f>Sheet1!H3*Sheet1!$D$21</f>
        <v>69065091.350921601</v>
      </c>
      <c r="G3" s="1">
        <f>Sheet1!I3*Sheet1!$D$21</f>
        <v>68166237.134637758</v>
      </c>
      <c r="H3" s="1">
        <f>Sheet1!J3*Sheet1!$D$21</f>
        <v>70699197.977853388</v>
      </c>
      <c r="I3" s="1">
        <f>Sheet1!K3*Sheet1!$D$21</f>
        <v>70699197.977853388</v>
      </c>
      <c r="J3" s="1">
        <f>Sheet1!L3*Sheet1!$D$21</f>
        <v>70699197.977853388</v>
      </c>
      <c r="K3" s="1">
        <f>Sheet1!M3*Sheet1!$D$21</f>
        <v>70699197.977853388</v>
      </c>
      <c r="L3" s="1">
        <f>Sheet1!N3*Sheet1!$D$21</f>
        <v>70699197.977853388</v>
      </c>
      <c r="M3" s="1">
        <f>Sheet1!O3*Sheet1!$D$21</f>
        <v>70699197.977853388</v>
      </c>
      <c r="N3" s="1">
        <f>Sheet1!P3*Sheet1!$D$21</f>
        <v>70699197.977853388</v>
      </c>
      <c r="O3" s="1">
        <f>Sheet1!Q3*Sheet1!$D$21</f>
        <v>70699197.977853388</v>
      </c>
      <c r="P3" s="1">
        <f>Sheet1!R3*Sheet1!$D$21</f>
        <v>70699197.977853388</v>
      </c>
      <c r="Q3" s="1">
        <f>Sheet1!S3*Sheet1!$D$21</f>
        <v>70699197.977853388</v>
      </c>
      <c r="R3" s="1">
        <f>Sheet1!T3*Sheet1!$D$21</f>
        <v>70699197.977853388</v>
      </c>
      <c r="S3" s="1">
        <f>Sheet1!U3*Sheet1!$D$21</f>
        <v>70699197.977853388</v>
      </c>
      <c r="T3" s="1">
        <f>Sheet1!V3*Sheet1!$D$21</f>
        <v>70699197.977853388</v>
      </c>
      <c r="U3" s="1">
        <f>Sheet1!W3*Sheet1!$D$21</f>
        <v>70699197.977853388</v>
      </c>
      <c r="V3" s="1">
        <f>Sheet1!X3*Sheet1!$D$21</f>
        <v>70699197.977853388</v>
      </c>
      <c r="W3" s="1">
        <f>Sheet1!Y3*Sheet1!$D$21</f>
        <v>70699197.977853388</v>
      </c>
      <c r="X3" s="1">
        <f>Sheet1!Z3*Sheet1!$D$21</f>
        <v>70699197.977853388</v>
      </c>
      <c r="Y3" s="1">
        <f>Sheet1!AA3*Sheet1!$D$21</f>
        <v>70699197.977853388</v>
      </c>
      <c r="Z3" s="1">
        <f>Sheet1!AB3*Sheet1!$D$21</f>
        <v>70699197.977853388</v>
      </c>
      <c r="AA3" s="1">
        <f>Sheet1!AC3*Sheet1!$D$21</f>
        <v>70699197.977853388</v>
      </c>
    </row>
    <row r="4" spans="1:27" x14ac:dyDescent="0.3">
      <c r="A4" t="s">
        <v>16</v>
      </c>
      <c r="B4" s="1">
        <f>Sheet1!D4*Sheet1!$D$21</f>
        <v>940500.51055019547</v>
      </c>
      <c r="C4" s="1">
        <f>Sheet1!E4*Sheet1!$D$21</f>
        <v>974202.93158279511</v>
      </c>
      <c r="D4" s="1">
        <f>Sheet1!F4*Sheet1!$D$21</f>
        <v>924862.79884983634</v>
      </c>
      <c r="E4" s="1">
        <f>Sheet1!G4*Sheet1!$D$21</f>
        <v>860673.96541015676</v>
      </c>
      <c r="F4" s="1">
        <f>Sheet1!H4*Sheet1!$D$21</f>
        <v>805010.7209044114</v>
      </c>
      <c r="G4" s="1">
        <f>Sheet1!I4*Sheet1!$D$21</f>
        <v>839710.23130937514</v>
      </c>
      <c r="H4" s="1">
        <f>Sheet1!J4*Sheet1!$D$21</f>
        <v>853227.47567791038</v>
      </c>
      <c r="I4" s="1">
        <f>Sheet1!K4*Sheet1!$D$21</f>
        <v>853227.47567791038</v>
      </c>
      <c r="J4" s="1">
        <f>Sheet1!L4*Sheet1!$D$21</f>
        <v>853227.47567791038</v>
      </c>
      <c r="K4" s="1">
        <f>Sheet1!M4*Sheet1!$D$21</f>
        <v>853227.47567791038</v>
      </c>
      <c r="L4" s="1">
        <f>Sheet1!N4*Sheet1!$D$21</f>
        <v>853227.47567791038</v>
      </c>
      <c r="M4" s="1">
        <f>Sheet1!O4*Sheet1!$D$21</f>
        <v>853227.47567791038</v>
      </c>
      <c r="N4" s="1">
        <f>Sheet1!P4*Sheet1!$D$21</f>
        <v>853227.47567791038</v>
      </c>
      <c r="O4" s="1">
        <f>Sheet1!Q4*Sheet1!$D$21</f>
        <v>853227.47567791038</v>
      </c>
      <c r="P4" s="1">
        <f>Sheet1!R4*Sheet1!$D$21</f>
        <v>853227.47567791038</v>
      </c>
      <c r="Q4" s="1">
        <f>Sheet1!S4*Sheet1!$D$21</f>
        <v>853227.47567791038</v>
      </c>
      <c r="R4" s="1">
        <f>Sheet1!T4*Sheet1!$D$21</f>
        <v>853227.47567791038</v>
      </c>
      <c r="S4" s="1">
        <f>Sheet1!U4*Sheet1!$D$21</f>
        <v>853227.47567791038</v>
      </c>
      <c r="T4" s="1">
        <f>Sheet1!V4*Sheet1!$D$21</f>
        <v>853227.47567791038</v>
      </c>
      <c r="U4" s="1">
        <f>Sheet1!W4*Sheet1!$D$21</f>
        <v>853227.47567791038</v>
      </c>
      <c r="V4" s="1">
        <f>Sheet1!X4*Sheet1!$D$21</f>
        <v>853227.47567791038</v>
      </c>
      <c r="W4" s="1">
        <f>Sheet1!Y4*Sheet1!$D$21</f>
        <v>853227.47567791038</v>
      </c>
      <c r="X4" s="1">
        <f>Sheet1!Z4*Sheet1!$D$21</f>
        <v>853227.47567791038</v>
      </c>
      <c r="Y4" s="1">
        <f>Sheet1!AA4*Sheet1!$D$21</f>
        <v>853227.47567791038</v>
      </c>
      <c r="Z4" s="1">
        <f>Sheet1!AB4*Sheet1!$D$21</f>
        <v>853227.47567791038</v>
      </c>
      <c r="AA4" s="1">
        <f>Sheet1!AC4*Sheet1!$D$21</f>
        <v>853227.47567791038</v>
      </c>
    </row>
    <row r="5" spans="1:27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4" t="s">
        <v>14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">
      <c r="A7" t="s">
        <v>1</v>
      </c>
      <c r="B7" s="1">
        <f>Sheet1!D7*1000</f>
        <v>330207.22323423484</v>
      </c>
      <c r="C7" s="1">
        <f>Sheet1!E7*1000</f>
        <v>372387.38122389803</v>
      </c>
      <c r="D7" s="1">
        <f>Sheet1!F7*1000</f>
        <v>425807.34881569311</v>
      </c>
      <c r="E7" s="1">
        <f>Sheet1!G7*1000</f>
        <v>454969.30686254118</v>
      </c>
      <c r="F7" s="1">
        <f>Sheet1!H7*1000</f>
        <v>498981.87373021489</v>
      </c>
      <c r="G7" s="1">
        <f>Sheet1!I7*1000</f>
        <v>531153.87893088209</v>
      </c>
      <c r="H7" s="1">
        <f>Sheet1!J7*1000</f>
        <v>546766.18464930076</v>
      </c>
      <c r="I7" s="1">
        <f>Sheet1!K7*1000</f>
        <v>509415.80907402455</v>
      </c>
      <c r="J7" s="1">
        <f>Sheet1!L7*1000</f>
        <v>464614.29537275305</v>
      </c>
      <c r="K7" s="1">
        <f>Sheet1!M7*1000</f>
        <v>415111.10018145468</v>
      </c>
      <c r="L7" s="1">
        <f>Sheet1!N7*1000</f>
        <v>397303.36705888371</v>
      </c>
      <c r="M7" s="1">
        <f>Sheet1!O7*1000</f>
        <v>401103.48016575823</v>
      </c>
      <c r="N7" s="1">
        <f>Sheet1!P7*1000</f>
        <v>410442.14496157254</v>
      </c>
      <c r="O7" s="1">
        <f>Sheet1!Q7*1000</f>
        <v>419081.94089056453</v>
      </c>
      <c r="P7" s="1">
        <f>Sheet1!R7*1000</f>
        <v>422660.13175796228</v>
      </c>
      <c r="Q7" s="1">
        <f>Sheet1!S7*1000</f>
        <v>344035.12735009234</v>
      </c>
      <c r="R7" s="1">
        <f>Sheet1!T7*1000</f>
        <v>243013.59823400876</v>
      </c>
      <c r="S7" s="1">
        <f>Sheet1!U7*1000</f>
        <v>155467.31591777503</v>
      </c>
      <c r="T7" s="1">
        <f>Sheet1!V7*1000</f>
        <v>111711.86506463344</v>
      </c>
      <c r="U7" s="1">
        <f>Sheet1!W7*1000</f>
        <v>103876.17105364415</v>
      </c>
      <c r="V7" s="1">
        <f>Sheet1!X7*1000</f>
        <v>85268.963538013544</v>
      </c>
      <c r="W7" s="1">
        <f>Sheet1!Y7*1000</f>
        <v>83587.710773937564</v>
      </c>
      <c r="X7" s="1">
        <f>Sheet1!Z7*1000</f>
        <v>84353.223919380893</v>
      </c>
      <c r="Y7" s="1">
        <f>Sheet1!AA7*1000</f>
        <v>103079.34078014438</v>
      </c>
      <c r="Z7" s="1">
        <f>Sheet1!AB7*1000</f>
        <v>117593.66718478651</v>
      </c>
      <c r="AA7" s="1">
        <f>Sheet1!AC7*1000</f>
        <v>46758.058674346314</v>
      </c>
    </row>
    <row r="8" spans="1:27" x14ac:dyDescent="0.3">
      <c r="A8" t="s">
        <v>2</v>
      </c>
      <c r="B8" s="1">
        <f>Sheet1!D8/Sheet1!$D$21*1000</f>
        <v>13.089219440959562</v>
      </c>
      <c r="C8" s="1">
        <f>Sheet1!E8/Sheet1!$D$21*1000</f>
        <v>11.824000069563986</v>
      </c>
      <c r="D8" s="1">
        <f>Sheet1!F8/Sheet1!$D$21*1000</f>
        <v>7.9218497317544676</v>
      </c>
      <c r="E8" s="1">
        <f>Sheet1!G8/Sheet1!$D$21*1000</f>
        <v>8.6622073446355223</v>
      </c>
      <c r="F8" s="1">
        <f>Sheet1!H8/Sheet1!$D$21*1000</f>
        <v>10.313236362775154</v>
      </c>
      <c r="G8" s="1">
        <f>Sheet1!I8/Sheet1!$D$21*1000</f>
        <v>13.049124354543984</v>
      </c>
      <c r="H8" s="1">
        <f>Sheet1!J8/Sheet1!$D$21*1000</f>
        <v>12.299453286804722</v>
      </c>
      <c r="I8" s="1">
        <f>Sheet1!K8/Sheet1!$D$21*1000</f>
        <v>11.815423759714228</v>
      </c>
      <c r="J8" s="1">
        <f>Sheet1!L8/Sheet1!$D$21*1000</f>
        <v>9.5903893710108612</v>
      </c>
      <c r="K8" s="1">
        <f>Sheet1!M8/Sheet1!$D$21*1000</f>
        <v>7.3838409121617605</v>
      </c>
      <c r="L8" s="1">
        <f>Sheet1!N8/Sheet1!$D$21*1000</f>
        <v>8.1420213894128608</v>
      </c>
      <c r="M8" s="1">
        <f>Sheet1!O8/Sheet1!$D$21*1000</f>
        <v>7.6291493763301936</v>
      </c>
      <c r="N8" s="1">
        <f>Sheet1!P8/Sheet1!$D$21*1000</f>
        <v>8.3114247524619316</v>
      </c>
      <c r="O8" s="1">
        <f>Sheet1!Q8/Sheet1!$D$21*1000</f>
        <v>9.3866632908067178</v>
      </c>
      <c r="P8" s="1">
        <f>Sheet1!R8/Sheet1!$D$21*1000</f>
        <v>10.341505318081149</v>
      </c>
      <c r="Q8" s="1">
        <f>Sheet1!S8/Sheet1!$D$21*1000</f>
        <v>17.415343009569817</v>
      </c>
      <c r="R8" s="1">
        <f>Sheet1!T8/Sheet1!$D$21*1000</f>
        <v>3.6881185222885002</v>
      </c>
      <c r="S8" s="1">
        <f>Sheet1!U8/Sheet1!$D$21*1000</f>
        <v>3.9376600389601144</v>
      </c>
      <c r="T8" s="1">
        <f>Sheet1!V8/Sheet1!$D$21*1000</f>
        <v>3.1711062997397752</v>
      </c>
      <c r="U8" s="1">
        <f>Sheet1!W8/Sheet1!$D$21*1000</f>
        <v>1.5981629761979876</v>
      </c>
      <c r="V8" s="1">
        <f>Sheet1!X8/Sheet1!$D$21*1000</f>
        <v>2.9530632731708994</v>
      </c>
      <c r="W8" s="1">
        <f>Sheet1!Y8/Sheet1!$D$21*1000</f>
        <v>3.5422896002211899</v>
      </c>
      <c r="X8" s="1">
        <f>Sheet1!Z8/Sheet1!$D$21*1000</f>
        <v>6.4035141775449196</v>
      </c>
      <c r="Y8" s="1">
        <f>Sheet1!AA8/Sheet1!$D$21*1000</f>
        <v>8.9254208997387998</v>
      </c>
      <c r="Z8" s="1">
        <f>Sheet1!AB8/Sheet1!$D$21*1000</f>
        <v>16.804953224146399</v>
      </c>
      <c r="AA8" s="1">
        <f>Sheet1!AC8/Sheet1!$D$21*1000</f>
        <v>4.0046220727634001</v>
      </c>
    </row>
    <row r="9" spans="1:27" x14ac:dyDescent="0.3">
      <c r="A9" t="s">
        <v>3</v>
      </c>
      <c r="B9" s="1">
        <f>Sheet1!D9/Sheet1!$D$21*1000</f>
        <v>60.942261405724039</v>
      </c>
      <c r="C9" s="1">
        <f>Sheet1!E9/Sheet1!$D$21*1000</f>
        <v>63.970386160344837</v>
      </c>
      <c r="D9" s="1">
        <f>Sheet1!F9/Sheet1!$D$21*1000</f>
        <v>70.252870607728383</v>
      </c>
      <c r="E9" s="1">
        <f>Sheet1!G9/Sheet1!$D$21*1000</f>
        <v>75.450714482732437</v>
      </c>
      <c r="F9" s="1">
        <f>Sheet1!H9/Sheet1!$D$21*1000</f>
        <v>83.023622145441934</v>
      </c>
      <c r="G9" s="1">
        <f>Sheet1!I9/Sheet1!$D$21*1000</f>
        <v>94.264687300074286</v>
      </c>
      <c r="H9" s="1">
        <f>Sheet1!J9/Sheet1!$D$21*1000</f>
        <v>97.348694411327102</v>
      </c>
      <c r="I9" s="1">
        <f>Sheet1!K9/Sheet1!$D$21*1000</f>
        <v>91.003157007132543</v>
      </c>
      <c r="J9" s="1">
        <f>Sheet1!L9/Sheet1!$D$21*1000</f>
        <v>80.837186046130128</v>
      </c>
      <c r="K9" s="1">
        <f>Sheet1!M9/Sheet1!$D$21*1000</f>
        <v>70.918979601372271</v>
      </c>
      <c r="L9" s="1">
        <f>Sheet1!N9/Sheet1!$D$21*1000</f>
        <v>70.960465799383172</v>
      </c>
      <c r="M9" s="1">
        <f>Sheet1!O9/Sheet1!$D$21*1000</f>
        <v>65.90284628546496</v>
      </c>
      <c r="N9" s="1">
        <f>Sheet1!P9/Sheet1!$D$21*1000</f>
        <v>63.934485639392953</v>
      </c>
      <c r="O9" s="1">
        <f>Sheet1!Q9/Sheet1!$D$21*1000</f>
        <v>65.408875394684998</v>
      </c>
      <c r="P9" s="1">
        <f>Sheet1!R9/Sheet1!$D$21*1000</f>
        <v>65.501862541718154</v>
      </c>
      <c r="Q9" s="1">
        <f>Sheet1!S9/Sheet1!$D$21*1000</f>
        <v>54.272181820020904</v>
      </c>
      <c r="R9" s="1">
        <f>Sheet1!T9/Sheet1!$D$21*1000</f>
        <v>34.560874628394494</v>
      </c>
      <c r="S9" s="1">
        <f>Sheet1!U9/Sheet1!$D$21*1000</f>
        <v>27.798360928516239</v>
      </c>
      <c r="T9" s="1">
        <f>Sheet1!V9/Sheet1!$D$21*1000</f>
        <v>19.124346423983898</v>
      </c>
      <c r="U9" s="1">
        <f>Sheet1!W9/Sheet1!$D$21*1000</f>
        <v>17.202951675062724</v>
      </c>
      <c r="V9" s="1">
        <f>Sheet1!X9/Sheet1!$D$21*1000</f>
        <v>17.832183820202712</v>
      </c>
      <c r="W9" s="1">
        <f>Sheet1!Y9/Sheet1!$D$21*1000</f>
        <v>18.977198387465922</v>
      </c>
      <c r="X9" s="1">
        <f>Sheet1!Z9/Sheet1!$D$21*1000</f>
        <v>19.837696675481375</v>
      </c>
      <c r="Y9" s="1">
        <f>Sheet1!AA9/Sheet1!$D$21*1000</f>
        <v>23.775726184384098</v>
      </c>
      <c r="Z9" s="1">
        <f>Sheet1!AB9/Sheet1!$D$21*1000</f>
        <v>27.657748870266776</v>
      </c>
      <c r="AA9" s="1">
        <f>Sheet1!AC9/Sheet1!$D$21*1000</f>
        <v>12.102659865603711</v>
      </c>
    </row>
    <row r="10" spans="1:2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4" t="s">
        <v>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</row>
    <row r="12" spans="1:27" x14ac:dyDescent="0.3">
      <c r="A12" t="s">
        <v>1</v>
      </c>
      <c r="B12" s="1">
        <f>B2*B7*1000</f>
        <v>3190821525244.3818</v>
      </c>
      <c r="C12" s="1">
        <f>C2*C7*1000</f>
        <v>3629152523794.8979</v>
      </c>
      <c r="D12" s="1">
        <f t="shared" ref="D12:AA12" si="0">D2*D7*1000</f>
        <v>4225781102986.4336</v>
      </c>
      <c r="E12" s="1">
        <f t="shared" si="0"/>
        <v>4445333179144.5908</v>
      </c>
      <c r="F12" s="1">
        <f t="shared" si="0"/>
        <v>4579810329217.9482</v>
      </c>
      <c r="G12" s="1">
        <f t="shared" si="0"/>
        <v>4908428525649.126</v>
      </c>
      <c r="H12" s="1">
        <f t="shared" si="0"/>
        <v>5178029483239.1846</v>
      </c>
      <c r="I12" s="1">
        <f t="shared" si="0"/>
        <v>4824310926077.7061</v>
      </c>
      <c r="J12" s="1">
        <f t="shared" si="0"/>
        <v>4400027996094.1641</v>
      </c>
      <c r="K12" s="1">
        <f t="shared" si="0"/>
        <v>3931218820597.1489</v>
      </c>
      <c r="L12" s="1">
        <f t="shared" si="0"/>
        <v>3762574581565.668</v>
      </c>
      <c r="M12" s="1">
        <f t="shared" si="0"/>
        <v>3798562721029.0859</v>
      </c>
      <c r="N12" s="1">
        <f t="shared" si="0"/>
        <v>3887002502062.418</v>
      </c>
      <c r="O12" s="1">
        <f t="shared" si="0"/>
        <v>3968823798451.0835</v>
      </c>
      <c r="P12" s="1">
        <f t="shared" si="0"/>
        <v>4002710271916.751</v>
      </c>
      <c r="Q12" s="1">
        <f t="shared" si="0"/>
        <v>3258109376005.6543</v>
      </c>
      <c r="R12" s="1">
        <f t="shared" si="0"/>
        <v>2301407094681.3237</v>
      </c>
      <c r="S12" s="1">
        <f t="shared" si="0"/>
        <v>1472319188902.7317</v>
      </c>
      <c r="T12" s="1">
        <f t="shared" si="0"/>
        <v>1057942768174.8993</v>
      </c>
      <c r="U12" s="1">
        <f t="shared" si="0"/>
        <v>983736543010.17505</v>
      </c>
      <c r="V12" s="1">
        <f t="shared" si="0"/>
        <v>807521056716.91858</v>
      </c>
      <c r="W12" s="1">
        <f t="shared" si="0"/>
        <v>791599120383.66382</v>
      </c>
      <c r="X12" s="1">
        <f t="shared" si="0"/>
        <v>798848745082.84875</v>
      </c>
      <c r="Y12" s="1">
        <f t="shared" si="0"/>
        <v>976190336303.9834</v>
      </c>
      <c r="Z12" s="1">
        <f t="shared" si="0"/>
        <v>1113645087827.7983</v>
      </c>
      <c r="AA12" s="1">
        <f t="shared" si="0"/>
        <v>442811960930.03949</v>
      </c>
    </row>
    <row r="13" spans="1:27" x14ac:dyDescent="0.3">
      <c r="A13" t="s">
        <v>2</v>
      </c>
      <c r="B13" s="1">
        <f>B3*B8*1000</f>
        <v>1040615799906.4675</v>
      </c>
      <c r="C13" s="1">
        <f>C3*C8*1000</f>
        <v>1002965923721.4077</v>
      </c>
      <c r="D13" s="1">
        <f t="shared" ref="D13:AA13" si="1">D3*D8*1000</f>
        <v>608393324617.23157</v>
      </c>
      <c r="E13" s="1">
        <f t="shared" si="1"/>
        <v>636112825283.61743</v>
      </c>
      <c r="F13" s="1">
        <f t="shared" si="1"/>
        <v>712284611518.7124</v>
      </c>
      <c r="G13" s="1">
        <f t="shared" si="1"/>
        <v>889509705151.22217</v>
      </c>
      <c r="H13" s="1">
        <f t="shared" si="1"/>
        <v>869561482943.16663</v>
      </c>
      <c r="I13" s="1">
        <f t="shared" si="1"/>
        <v>835340983580.26904</v>
      </c>
      <c r="J13" s="1">
        <f t="shared" si="1"/>
        <v>678032836825.79773</v>
      </c>
      <c r="K13" s="1">
        <f t="shared" si="1"/>
        <v>522031630485.89783</v>
      </c>
      <c r="L13" s="1">
        <f t="shared" si="1"/>
        <v>575634382150.01685</v>
      </c>
      <c r="M13" s="1">
        <f t="shared" si="1"/>
        <v>539374742159.78503</v>
      </c>
      <c r="N13" s="1">
        <f t="shared" si="1"/>
        <v>587611064052.33716</v>
      </c>
      <c r="O13" s="1">
        <f t="shared" si="1"/>
        <v>663629566348.19287</v>
      </c>
      <c r="P13" s="1">
        <f t="shared" si="1"/>
        <v>731136131872.04272</v>
      </c>
      <c r="Q13" s="1">
        <f t="shared" si="1"/>
        <v>1231250783285.8018</v>
      </c>
      <c r="R13" s="1">
        <f t="shared" si="1"/>
        <v>260747021573.06274</v>
      </c>
      <c r="S13" s="1">
        <f t="shared" si="1"/>
        <v>278389406663.92303</v>
      </c>
      <c r="T13" s="1">
        <f t="shared" si="1"/>
        <v>224194672094.12045</v>
      </c>
      <c r="U13" s="1">
        <f t="shared" si="1"/>
        <v>112988840655.09692</v>
      </c>
      <c r="V13" s="1">
        <f t="shared" si="1"/>
        <v>208779204991.03717</v>
      </c>
      <c r="W13" s="1">
        <f t="shared" si="1"/>
        <v>250437033740.92905</v>
      </c>
      <c r="X13" s="1">
        <f t="shared" si="1"/>
        <v>452723316592.23926</v>
      </c>
      <c r="Y13" s="1">
        <f t="shared" si="1"/>
        <v>631020099226.30371</v>
      </c>
      <c r="Z13" s="1">
        <f t="shared" si="1"/>
        <v>1188096715002.4917</v>
      </c>
      <c r="AA13" s="1">
        <f t="shared" si="1"/>
        <v>283123568748.78119</v>
      </c>
    </row>
    <row r="14" spans="1:27" x14ac:dyDescent="0.3">
      <c r="A14" t="s">
        <v>3</v>
      </c>
      <c r="B14" s="1">
        <f>B4*B9*1000</f>
        <v>57316227966.166931</v>
      </c>
      <c r="C14" s="1">
        <f t="shared" ref="C14:AA14" si="2">C4*C9*1000</f>
        <v>62320137731.891403</v>
      </c>
      <c r="D14" s="1">
        <f t="shared" si="2"/>
        <v>64974266537.499077</v>
      </c>
      <c r="E14" s="1">
        <f t="shared" si="2"/>
        <v>64938465626.882874</v>
      </c>
      <c r="F14" s="1">
        <f t="shared" si="2"/>
        <v>66834905915.397667</v>
      </c>
      <c r="G14" s="1">
        <f t="shared" si="2"/>
        <v>79155022377.0513</v>
      </c>
      <c r="H14" s="1">
        <f t="shared" si="2"/>
        <v>83060580793.116928</v>
      </c>
      <c r="I14" s="1">
        <f t="shared" si="2"/>
        <v>77646393931.916229</v>
      </c>
      <c r="J14" s="1">
        <f t="shared" si="2"/>
        <v>68972508191.045212</v>
      </c>
      <c r="K14" s="1">
        <f t="shared" si="2"/>
        <v>60510021942.932083</v>
      </c>
      <c r="L14" s="1">
        <f t="shared" si="2"/>
        <v>60545419106.936394</v>
      </c>
      <c r="M14" s="1">
        <f t="shared" si="2"/>
        <v>56230119176.13662</v>
      </c>
      <c r="N14" s="1">
        <f t="shared" si="2"/>
        <v>54550659790.864861</v>
      </c>
      <c r="O14" s="1">
        <f t="shared" si="2"/>
        <v>55808649639.938065</v>
      </c>
      <c r="P14" s="1">
        <f t="shared" si="2"/>
        <v>55887988828.671654</v>
      </c>
      <c r="Q14" s="1">
        <f t="shared" si="2"/>
        <v>46306516693.829018</v>
      </c>
      <c r="R14" s="1">
        <f t="shared" si="2"/>
        <v>29488287816.405773</v>
      </c>
      <c r="S14" s="1">
        <f t="shared" si="2"/>
        <v>23718325323.021362</v>
      </c>
      <c r="T14" s="1">
        <f t="shared" si="2"/>
        <v>16317417823.325653</v>
      </c>
      <c r="U14" s="1">
        <f t="shared" si="2"/>
        <v>14678031031.92285</v>
      </c>
      <c r="V14" s="1">
        <f t="shared" si="2"/>
        <v>15214909186.736036</v>
      </c>
      <c r="W14" s="1">
        <f t="shared" si="2"/>
        <v>16191867075.57646</v>
      </c>
      <c r="X14" s="1">
        <f t="shared" si="2"/>
        <v>16926067857.685049</v>
      </c>
      <c r="Y14" s="1">
        <f t="shared" si="2"/>
        <v>20286102834.711239</v>
      </c>
      <c r="Z14" s="1">
        <f t="shared" si="2"/>
        <v>23598351251.511299</v>
      </c>
      <c r="AA14" s="1">
        <f t="shared" si="2"/>
        <v>10326321926.117413</v>
      </c>
    </row>
    <row r="15" spans="1:27" x14ac:dyDescent="0.3">
      <c r="A15" t="s">
        <v>44</v>
      </c>
      <c r="B15" s="1">
        <f>SUBTOTAL(109,Table1[2025])</f>
        <v>4288753553117.0166</v>
      </c>
      <c r="C15" s="1">
        <f>SUBTOTAL(109,Table1[2026])</f>
        <v>4694438585248.1973</v>
      </c>
      <c r="D15" s="1">
        <f>SUBTOTAL(109,Table1[2027])</f>
        <v>4899148694141.1641</v>
      </c>
      <c r="E15" s="1">
        <f>SUBTOTAL(109,Table1[2028])</f>
        <v>5146384470055.0908</v>
      </c>
      <c r="F15" s="1">
        <f>SUBTOTAL(109,Table1[2029])</f>
        <v>5358929846652.0576</v>
      </c>
      <c r="G15" s="1">
        <f>SUBTOTAL(109,Table1[2030])</f>
        <v>5877093253177.3994</v>
      </c>
      <c r="H15" s="1">
        <f>SUBTOTAL(109,Table1[2031])</f>
        <v>6130651546975.4688</v>
      </c>
      <c r="I15" s="1">
        <f>SUBTOTAL(109,Table1[2032])</f>
        <v>5737298303589.8906</v>
      </c>
      <c r="J15" s="1">
        <f>SUBTOTAL(109,Table1[2033])</f>
        <v>5147033341111.0068</v>
      </c>
      <c r="K15" s="1">
        <f>SUBTOTAL(109,Table1[2034])</f>
        <v>4513760473025.9785</v>
      </c>
      <c r="L15" s="1">
        <f>SUBTOTAL(109,Table1[2035])</f>
        <v>4398754382822.6211</v>
      </c>
      <c r="M15" s="1">
        <f>SUBTOTAL(109,Table1[2036])</f>
        <v>4394167582365.0078</v>
      </c>
      <c r="N15" s="1">
        <f>SUBTOTAL(109,Table1[2037])</f>
        <v>4529164225905.6201</v>
      </c>
      <c r="O15" s="1">
        <f>SUBTOTAL(109,Table1[2038])</f>
        <v>4688262014439.2148</v>
      </c>
      <c r="P15" s="1">
        <f>SUBTOTAL(109,Table1[2039])</f>
        <v>4789734392617.4658</v>
      </c>
      <c r="Q15" s="1">
        <f>SUBTOTAL(109,Table1[2040])</f>
        <v>4535666675985.2852</v>
      </c>
      <c r="R15" s="1">
        <f>SUBTOTAL(109,Table1[2041])</f>
        <v>2591642404070.7925</v>
      </c>
      <c r="S15" s="1">
        <f>SUBTOTAL(109,Table1[2042])</f>
        <v>1774426920889.6763</v>
      </c>
      <c r="T15" s="1">
        <f>SUBTOTAL(109,Table1[2043])</f>
        <v>1298454858092.3455</v>
      </c>
      <c r="U15" s="1">
        <f>SUBTOTAL(109,Table1[2044])</f>
        <v>1111403414697.1948</v>
      </c>
      <c r="V15" s="1">
        <f>SUBTOTAL(109,Table1[2045])</f>
        <v>1031515170894.6919</v>
      </c>
      <c r="W15" s="1">
        <f>SUBTOTAL(109,Table1[2046])</f>
        <v>1058228021200.1693</v>
      </c>
      <c r="X15" s="1">
        <f>SUBTOTAL(109,Table1[2047])</f>
        <v>1268498129532.7729</v>
      </c>
      <c r="Y15" s="1">
        <f>SUBTOTAL(109,Table1[2048])</f>
        <v>1627496538364.9983</v>
      </c>
      <c r="Z15" s="1">
        <f>SUBTOTAL(109,Table1[2049])</f>
        <v>2325340154081.8013</v>
      </c>
      <c r="AA15" s="1">
        <f>SUBTOTAL(109,Table1[2050])</f>
        <v>736261851604.93811</v>
      </c>
    </row>
    <row r="16" spans="1:27" s="7" customFormat="1" x14ac:dyDescent="0.3">
      <c r="B16" s="8">
        <f>SUM(B17:B19)</f>
        <v>6755538163201.3203</v>
      </c>
      <c r="C16" s="8">
        <f t="shared" ref="C16:AA16" si="3">SUM(C17:C19)</f>
        <v>7195963560034.8389</v>
      </c>
      <c r="D16" s="8">
        <f t="shared" si="3"/>
        <v>7436072874560.3389</v>
      </c>
      <c r="E16" s="8">
        <f t="shared" si="3"/>
        <v>7973938882541.8945</v>
      </c>
      <c r="F16" s="8">
        <f t="shared" si="3"/>
        <v>8860055869591.5391</v>
      </c>
      <c r="G16" s="8">
        <f t="shared" si="3"/>
        <v>9734612087824.9238</v>
      </c>
      <c r="H16" s="8">
        <f t="shared" si="3"/>
        <v>9862305637978.3691</v>
      </c>
      <c r="I16" s="8">
        <f t="shared" si="3"/>
        <v>9239251451862.4238</v>
      </c>
      <c r="J16" s="8">
        <f t="shared" si="3"/>
        <v>8255581156873.1016</v>
      </c>
      <c r="K16" s="8">
        <f t="shared" si="3"/>
        <v>7206859643249.5264</v>
      </c>
      <c r="L16" s="8">
        <f t="shared" si="3"/>
        <v>7055184417580.0664</v>
      </c>
      <c r="M16" s="8">
        <f t="shared" si="3"/>
        <v>7027506097428.2939</v>
      </c>
      <c r="N16" s="8">
        <f t="shared" si="3"/>
        <v>7254515591600.3643</v>
      </c>
      <c r="O16" s="8">
        <f t="shared" si="3"/>
        <v>7533896573533.1279</v>
      </c>
      <c r="P16" s="8">
        <f t="shared" si="3"/>
        <v>7720038224362.9063</v>
      </c>
      <c r="Q16" s="8">
        <f t="shared" si="3"/>
        <v>7549223252396.5859</v>
      </c>
      <c r="R16" s="8">
        <f t="shared" si="3"/>
        <v>4115123677880.9131</v>
      </c>
      <c r="S16" s="8">
        <f t="shared" si="3"/>
        <v>2866334059055.4775</v>
      </c>
      <c r="T16" s="8">
        <f t="shared" si="3"/>
        <v>2105780225803.7349</v>
      </c>
      <c r="U16" s="8">
        <f t="shared" si="3"/>
        <v>1767228849203.9211</v>
      </c>
      <c r="V16" s="8">
        <f t="shared" si="3"/>
        <v>1688992606391.4224</v>
      </c>
      <c r="W16" s="8">
        <f t="shared" si="3"/>
        <v>1749780698658.4524</v>
      </c>
      <c r="X16" s="8">
        <f t="shared" si="3"/>
        <v>2164429431277.105</v>
      </c>
      <c r="Y16" s="8">
        <f t="shared" si="3"/>
        <v>2798421832408.1592</v>
      </c>
      <c r="Z16" s="8">
        <f t="shared" si="3"/>
        <v>4123434611943.2275</v>
      </c>
      <c r="AA16" s="8">
        <f t="shared" si="3"/>
        <v>1266019455307.7388</v>
      </c>
    </row>
    <row r="17" spans="1:27" x14ac:dyDescent="0.3">
      <c r="A17" t="s">
        <v>1</v>
      </c>
      <c r="B17" s="1">
        <f>B7*B23*1000</f>
        <v>4788004736896.4053</v>
      </c>
      <c r="C17" s="1">
        <f t="shared" ref="C17:AA19" si="4">C7*C23*1000</f>
        <v>5399617027746.5215</v>
      </c>
      <c r="D17" s="1">
        <f t="shared" si="4"/>
        <v>6174206557827.5498</v>
      </c>
      <c r="E17" s="1">
        <f t="shared" si="4"/>
        <v>6597054949506.8477</v>
      </c>
      <c r="F17" s="1">
        <f t="shared" si="4"/>
        <v>7235237169088.1152</v>
      </c>
      <c r="G17" s="1">
        <f t="shared" si="4"/>
        <v>7701731244497.79</v>
      </c>
      <c r="H17" s="1">
        <f t="shared" si="4"/>
        <v>7928109677414.8604</v>
      </c>
      <c r="I17" s="1">
        <f t="shared" si="4"/>
        <v>7386529231573.3555</v>
      </c>
      <c r="J17" s="1">
        <f t="shared" si="4"/>
        <v>6736907282904.9199</v>
      </c>
      <c r="K17" s="1">
        <f t="shared" si="4"/>
        <v>6019110952631.0928</v>
      </c>
      <c r="L17" s="1">
        <f t="shared" si="4"/>
        <v>5760898822353.8145</v>
      </c>
      <c r="M17" s="1">
        <f t="shared" si="4"/>
        <v>5816000462403.4941</v>
      </c>
      <c r="N17" s="1">
        <f t="shared" si="4"/>
        <v>5951411101942.8018</v>
      </c>
      <c r="O17" s="1">
        <f t="shared" si="4"/>
        <v>6076688142913.1865</v>
      </c>
      <c r="P17" s="1">
        <f t="shared" si="4"/>
        <v>6128571910490.4531</v>
      </c>
      <c r="Q17" s="1">
        <f t="shared" si="4"/>
        <v>4988509346576.3389</v>
      </c>
      <c r="R17" s="1">
        <f t="shared" si="4"/>
        <v>3523697174393.127</v>
      </c>
      <c r="S17" s="1">
        <f t="shared" si="4"/>
        <v>2254276080807.7378</v>
      </c>
      <c r="T17" s="1">
        <f t="shared" si="4"/>
        <v>1619822043437.1848</v>
      </c>
      <c r="U17" s="1">
        <f t="shared" si="4"/>
        <v>1506204480277.8401</v>
      </c>
      <c r="V17" s="1">
        <f t="shared" si="4"/>
        <v>1236399971301.1963</v>
      </c>
      <c r="W17" s="1">
        <f t="shared" si="4"/>
        <v>1212021806222.0947</v>
      </c>
      <c r="X17" s="1">
        <f t="shared" si="4"/>
        <v>1223121746831.0229</v>
      </c>
      <c r="Y17" s="1">
        <f t="shared" si="4"/>
        <v>1494650441312.0935</v>
      </c>
      <c r="Z17" s="1">
        <f t="shared" si="4"/>
        <v>1705108174179.4043</v>
      </c>
      <c r="AA17" s="1">
        <f t="shared" si="4"/>
        <v>677991850778.02161</v>
      </c>
    </row>
    <row r="18" spans="1:27" x14ac:dyDescent="0.3">
      <c r="A18" t="s">
        <v>2</v>
      </c>
      <c r="B18" s="1">
        <f t="shared" ref="B18:Q19" si="5">B8*B24*1000</f>
        <v>1837726409510.7227</v>
      </c>
      <c r="C18" s="1">
        <f t="shared" si="5"/>
        <v>1660089609766.7837</v>
      </c>
      <c r="D18" s="1">
        <f t="shared" si="5"/>
        <v>1112227702338.3271</v>
      </c>
      <c r="E18" s="1">
        <f t="shared" si="5"/>
        <v>1216173911186.8274</v>
      </c>
      <c r="F18" s="1">
        <f t="shared" si="5"/>
        <v>1447978385333.6316</v>
      </c>
      <c r="G18" s="1">
        <f t="shared" si="5"/>
        <v>1832097059377.9756</v>
      </c>
      <c r="H18" s="1">
        <f t="shared" si="5"/>
        <v>1726843241467.3828</v>
      </c>
      <c r="I18" s="1">
        <f t="shared" si="5"/>
        <v>1658885495863.8777</v>
      </c>
      <c r="J18" s="1">
        <f t="shared" si="5"/>
        <v>1346490667689.925</v>
      </c>
      <c r="K18" s="1">
        <f t="shared" si="5"/>
        <v>1036691264067.5112</v>
      </c>
      <c r="L18" s="1">
        <f t="shared" si="5"/>
        <v>1143139803073.5657</v>
      </c>
      <c r="M18" s="1">
        <f t="shared" si="5"/>
        <v>1071132572436.7593</v>
      </c>
      <c r="N18" s="1">
        <f t="shared" si="5"/>
        <v>1166924035245.6553</v>
      </c>
      <c r="O18" s="1">
        <f t="shared" si="5"/>
        <v>1317887526029.2632</v>
      </c>
      <c r="P18" s="1">
        <f t="shared" si="5"/>
        <v>1451947346658.5933</v>
      </c>
      <c r="Q18" s="1">
        <f t="shared" si="5"/>
        <v>2445114158543.6025</v>
      </c>
      <c r="R18" s="1">
        <f t="shared" si="4"/>
        <v>517811840529.30548</v>
      </c>
      <c r="S18" s="1">
        <f t="shared" si="4"/>
        <v>552847469470</v>
      </c>
      <c r="T18" s="1">
        <f t="shared" si="4"/>
        <v>445223324483.46442</v>
      </c>
      <c r="U18" s="1">
        <f t="shared" si="4"/>
        <v>224382081858.19745</v>
      </c>
      <c r="V18" s="1">
        <f t="shared" si="4"/>
        <v>414610083553.19427</v>
      </c>
      <c r="W18" s="1">
        <f t="shared" si="4"/>
        <v>497337459871.05505</v>
      </c>
      <c r="X18" s="1">
        <f t="shared" si="4"/>
        <v>899053390527.30664</v>
      </c>
      <c r="Y18" s="1">
        <f t="shared" si="4"/>
        <v>1253129094323.3276</v>
      </c>
      <c r="Z18" s="1">
        <f t="shared" si="4"/>
        <v>2359415432670.1548</v>
      </c>
      <c r="AA18" s="1">
        <f t="shared" si="4"/>
        <v>562248939015.98132</v>
      </c>
    </row>
    <row r="19" spans="1:27" x14ac:dyDescent="0.3">
      <c r="A19" t="s">
        <v>3</v>
      </c>
      <c r="B19" s="1">
        <f t="shared" si="5"/>
        <v>129807016794.19221</v>
      </c>
      <c r="C19" s="1">
        <f t="shared" si="4"/>
        <v>136256922521.5345</v>
      </c>
      <c r="D19" s="1">
        <f t="shared" si="4"/>
        <v>149638614394.46146</v>
      </c>
      <c r="E19" s="1">
        <f t="shared" si="4"/>
        <v>160710021848.22009</v>
      </c>
      <c r="F19" s="1">
        <f t="shared" si="4"/>
        <v>176840315169.79132</v>
      </c>
      <c r="G19" s="1">
        <f t="shared" si="4"/>
        <v>200783783949.15823</v>
      </c>
      <c r="H19" s="1">
        <f t="shared" si="4"/>
        <v>207352719096.12674</v>
      </c>
      <c r="I19" s="1">
        <f t="shared" si="4"/>
        <v>193836724425.19232</v>
      </c>
      <c r="J19" s="1">
        <f t="shared" si="4"/>
        <v>172183206278.25717</v>
      </c>
      <c r="K19" s="1">
        <f t="shared" si="4"/>
        <v>151057426550.92294</v>
      </c>
      <c r="L19" s="1">
        <f t="shared" si="4"/>
        <v>151145792152.68616</v>
      </c>
      <c r="M19" s="1">
        <f t="shared" si="4"/>
        <v>140373062588.04034</v>
      </c>
      <c r="N19" s="1">
        <f t="shared" si="4"/>
        <v>136180454411.90698</v>
      </c>
      <c r="O19" s="1">
        <f t="shared" si="4"/>
        <v>139320904590.67905</v>
      </c>
      <c r="P19" s="1">
        <f t="shared" si="4"/>
        <v>139518967213.85968</v>
      </c>
      <c r="Q19" s="1">
        <f t="shared" si="4"/>
        <v>115599747276.64453</v>
      </c>
      <c r="R19" s="1">
        <f t="shared" si="4"/>
        <v>73614662958.48027</v>
      </c>
      <c r="S19" s="1">
        <f t="shared" si="4"/>
        <v>59210508777.739594</v>
      </c>
      <c r="T19" s="1">
        <f t="shared" si="4"/>
        <v>40734857883.085709</v>
      </c>
      <c r="U19" s="1">
        <f t="shared" si="4"/>
        <v>36642287067.883606</v>
      </c>
      <c r="V19" s="1">
        <f t="shared" si="4"/>
        <v>37982551537.031776</v>
      </c>
      <c r="W19" s="1">
        <f t="shared" si="4"/>
        <v>40421432565.302414</v>
      </c>
      <c r="X19" s="1">
        <f t="shared" si="4"/>
        <v>42254293918.77533</v>
      </c>
      <c r="Y19" s="1">
        <f t="shared" si="4"/>
        <v>50642296772.738129</v>
      </c>
      <c r="Z19" s="1">
        <f t="shared" si="4"/>
        <v>58911005093.668228</v>
      </c>
      <c r="AA19" s="1">
        <f t="shared" si="4"/>
        <v>25778665513.735905</v>
      </c>
    </row>
    <row r="20" spans="1:27" x14ac:dyDescent="0.3">
      <c r="B20" s="9" t="s">
        <v>18</v>
      </c>
      <c r="C20" s="9" t="s">
        <v>19</v>
      </c>
      <c r="D20" s="9" t="s">
        <v>20</v>
      </c>
      <c r="E20" s="9" t="s">
        <v>21</v>
      </c>
      <c r="F20" s="9" t="s">
        <v>22</v>
      </c>
      <c r="G20" s="9" t="s">
        <v>23</v>
      </c>
      <c r="H20" s="9" t="s">
        <v>24</v>
      </c>
      <c r="I20" s="9" t="s">
        <v>25</v>
      </c>
      <c r="J20" s="9" t="s">
        <v>26</v>
      </c>
      <c r="K20" s="9" t="s">
        <v>27</v>
      </c>
      <c r="L20" s="9" t="s">
        <v>28</v>
      </c>
      <c r="M20" s="9" t="s">
        <v>29</v>
      </c>
      <c r="N20" s="9" t="s">
        <v>30</v>
      </c>
      <c r="O20" s="9" t="s">
        <v>31</v>
      </c>
      <c r="P20" s="9" t="s">
        <v>32</v>
      </c>
      <c r="Q20" s="9" t="s">
        <v>33</v>
      </c>
      <c r="R20" s="9" t="s">
        <v>34</v>
      </c>
      <c r="S20" s="9" t="s">
        <v>35</v>
      </c>
      <c r="T20" s="9" t="s">
        <v>36</v>
      </c>
      <c r="U20" s="9" t="s">
        <v>37</v>
      </c>
      <c r="V20" s="9" t="s">
        <v>38</v>
      </c>
      <c r="W20" s="9" t="s">
        <v>39</v>
      </c>
      <c r="X20" s="9" t="s">
        <v>40</v>
      </c>
      <c r="Y20" s="9" t="s">
        <v>41</v>
      </c>
      <c r="Z20" s="9" t="s">
        <v>42</v>
      </c>
      <c r="AA20" s="10" t="s">
        <v>43</v>
      </c>
    </row>
    <row r="21" spans="1:27" x14ac:dyDescent="0.3">
      <c r="B21" s="1">
        <f>B16-Table1[[#Totals],[2025]]</f>
        <v>2466784610084.3037</v>
      </c>
      <c r="C21" s="1">
        <f>C16-Table1[[#Totals],[2026]]</f>
        <v>2501524974786.6416</v>
      </c>
      <c r="D21" s="1">
        <f>D16-Table1[[#Totals],[2027]]</f>
        <v>2536924180419.1748</v>
      </c>
      <c r="E21" s="1">
        <f>E16-Table1[[#Totals],[2028]]</f>
        <v>2827554412486.8037</v>
      </c>
      <c r="F21" s="1">
        <f>F16-Table1[[#Totals],[2029]]</f>
        <v>3501126022939.4814</v>
      </c>
      <c r="G21" s="1">
        <f>G16-Table1[[#Totals],[2030]]</f>
        <v>3857518834647.5244</v>
      </c>
      <c r="H21" s="1">
        <f>H16-Table1[[#Totals],[2031]]</f>
        <v>3731654091002.9004</v>
      </c>
      <c r="I21" s="1">
        <f>I16-Table1[[#Totals],[2032]]</f>
        <v>3501953148272.5332</v>
      </c>
      <c r="J21" s="1">
        <f>J16-Table1[[#Totals],[2033]]</f>
        <v>3108547815762.0947</v>
      </c>
      <c r="K21" s="1">
        <f>K16-Table1[[#Totals],[2034]]</f>
        <v>2693099170223.5479</v>
      </c>
      <c r="L21" s="1">
        <f>L16-Table1[[#Totals],[2035]]</f>
        <v>2656430034757.4453</v>
      </c>
      <c r="M21" s="1">
        <f>M16-Table1[[#Totals],[2036]]</f>
        <v>2633338515063.2861</v>
      </c>
      <c r="N21" s="1">
        <f>N16-Table1[[#Totals],[2037]]</f>
        <v>2725351365694.7441</v>
      </c>
      <c r="O21" s="1">
        <f>O16-Table1[[#Totals],[2038]]</f>
        <v>2845634559093.9131</v>
      </c>
      <c r="P21" s="1">
        <f>P16-Table1[[#Totals],[2039]]</f>
        <v>2930303831745.4404</v>
      </c>
      <c r="Q21" s="1">
        <f>Q16-Table1[[#Totals],[2040]]</f>
        <v>3013556576411.3008</v>
      </c>
      <c r="R21" s="1">
        <f>R16-Table1[[#Totals],[2041]]</f>
        <v>1523481273810.1206</v>
      </c>
      <c r="S21" s="1">
        <f>S16-Table1[[#Totals],[2042]]</f>
        <v>1091907138165.8013</v>
      </c>
      <c r="T21" s="1">
        <f>T16-Table1[[#Totals],[2043]]</f>
        <v>807325367711.3894</v>
      </c>
      <c r="U21" s="1">
        <f>U16-Table1[[#Totals],[2044]]</f>
        <v>655825434506.72632</v>
      </c>
      <c r="V21" s="1">
        <f>V16-Table1[[#Totals],[2045]]</f>
        <v>657477435496.73047</v>
      </c>
      <c r="W21" s="1">
        <f>W16-Table1[[#Totals],[2046]]</f>
        <v>691552677458.28308</v>
      </c>
      <c r="X21" s="1">
        <f>X16-Table1[[#Totals],[2047]]</f>
        <v>895931301744.33203</v>
      </c>
      <c r="Y21" s="1">
        <f>Y16-Table1[[#Totals],[2048]]</f>
        <v>1170925294043.1609</v>
      </c>
      <c r="Z21" s="1">
        <f>Z16-Table1[[#Totals],[2049]]</f>
        <v>1798094457861.4263</v>
      </c>
      <c r="AA21" s="1">
        <f>AA16-Table1[[#Totals],[2050]]</f>
        <v>529757603702.80066</v>
      </c>
    </row>
    <row r="23" spans="1:27" x14ac:dyDescent="0.3">
      <c r="A23" t="s">
        <v>1</v>
      </c>
      <c r="B23" s="11">
        <v>14500</v>
      </c>
      <c r="C23" s="11">
        <v>14500</v>
      </c>
      <c r="D23" s="11">
        <v>14500</v>
      </c>
      <c r="E23" s="11">
        <v>14500</v>
      </c>
      <c r="F23" s="11">
        <v>14500</v>
      </c>
      <c r="G23" s="11">
        <v>14500</v>
      </c>
      <c r="H23" s="11">
        <v>14500</v>
      </c>
      <c r="I23" s="11">
        <v>14500</v>
      </c>
      <c r="J23" s="11">
        <v>14500</v>
      </c>
      <c r="K23" s="11">
        <v>14500</v>
      </c>
      <c r="L23" s="11">
        <v>14500</v>
      </c>
      <c r="M23" s="11">
        <v>14500</v>
      </c>
      <c r="N23" s="11">
        <v>14500</v>
      </c>
      <c r="O23" s="11">
        <v>14500</v>
      </c>
      <c r="P23" s="11">
        <v>14500</v>
      </c>
      <c r="Q23" s="11">
        <v>14500</v>
      </c>
      <c r="R23" s="11">
        <v>14500</v>
      </c>
      <c r="S23" s="11">
        <v>14500</v>
      </c>
      <c r="T23" s="11">
        <v>14500</v>
      </c>
      <c r="U23" s="11">
        <v>14500</v>
      </c>
      <c r="V23" s="11">
        <v>14500</v>
      </c>
      <c r="W23">
        <v>14500</v>
      </c>
      <c r="X23">
        <v>14500</v>
      </c>
      <c r="Y23">
        <v>14500</v>
      </c>
      <c r="Z23">
        <v>14500</v>
      </c>
      <c r="AA23">
        <v>14500</v>
      </c>
    </row>
    <row r="24" spans="1:27" x14ac:dyDescent="0.3">
      <c r="A24" t="s">
        <v>2</v>
      </c>
      <c r="B24" s="11">
        <v>140400000</v>
      </c>
      <c r="C24" s="11">
        <v>140400000</v>
      </c>
      <c r="D24" s="11">
        <v>140400000</v>
      </c>
      <c r="E24" s="11">
        <v>140400000</v>
      </c>
      <c r="F24" s="11">
        <v>140400000</v>
      </c>
      <c r="G24" s="11">
        <v>140400000</v>
      </c>
      <c r="H24" s="11">
        <v>140400000</v>
      </c>
      <c r="I24" s="11">
        <v>140400000</v>
      </c>
      <c r="J24" s="11">
        <v>140400000</v>
      </c>
      <c r="K24" s="11">
        <v>140400000</v>
      </c>
      <c r="L24" s="11">
        <v>140400000</v>
      </c>
      <c r="M24" s="11">
        <v>140400000</v>
      </c>
      <c r="N24" s="11">
        <v>140400000</v>
      </c>
      <c r="O24" s="11">
        <v>140400000</v>
      </c>
      <c r="P24" s="11">
        <v>140400000</v>
      </c>
      <c r="Q24" s="11">
        <v>140400000</v>
      </c>
      <c r="R24" s="11">
        <v>140400000</v>
      </c>
      <c r="S24" s="11">
        <v>140400000</v>
      </c>
      <c r="T24" s="11">
        <v>140400000</v>
      </c>
      <c r="U24" s="11">
        <v>140400000</v>
      </c>
      <c r="V24" s="11">
        <v>140400000</v>
      </c>
      <c r="W24">
        <v>140400000</v>
      </c>
      <c r="X24">
        <v>140400000</v>
      </c>
      <c r="Y24">
        <v>140400000</v>
      </c>
      <c r="Z24">
        <v>140400000</v>
      </c>
      <c r="AA24">
        <v>140400000</v>
      </c>
    </row>
    <row r="25" spans="1:27" x14ac:dyDescent="0.3">
      <c r="A25" t="s">
        <v>3</v>
      </c>
      <c r="B25" s="11">
        <v>2130000</v>
      </c>
      <c r="C25" s="11">
        <v>2130000</v>
      </c>
      <c r="D25" s="11">
        <v>2130000</v>
      </c>
      <c r="E25" s="11">
        <v>2130000</v>
      </c>
      <c r="F25" s="11">
        <v>2130000</v>
      </c>
      <c r="G25" s="11">
        <v>2130000</v>
      </c>
      <c r="H25" s="11">
        <v>2130000</v>
      </c>
      <c r="I25" s="11">
        <v>2130000</v>
      </c>
      <c r="J25" s="11">
        <v>2130000</v>
      </c>
      <c r="K25" s="11">
        <v>2130000</v>
      </c>
      <c r="L25" s="11">
        <v>2130000</v>
      </c>
      <c r="M25" s="11">
        <v>2130000</v>
      </c>
      <c r="N25" s="11">
        <v>2130000</v>
      </c>
      <c r="O25" s="11">
        <v>2130000</v>
      </c>
      <c r="P25" s="11">
        <v>2130000</v>
      </c>
      <c r="Q25" s="11">
        <v>2130000</v>
      </c>
      <c r="R25" s="11">
        <v>2130000</v>
      </c>
      <c r="S25" s="11">
        <v>2130000</v>
      </c>
      <c r="T25" s="11">
        <v>2130000</v>
      </c>
      <c r="U25" s="11">
        <v>2130000</v>
      </c>
      <c r="V25" s="11">
        <v>2130000</v>
      </c>
      <c r="W25">
        <v>2130000</v>
      </c>
      <c r="X25">
        <v>2130000</v>
      </c>
      <c r="Y25">
        <v>2130000</v>
      </c>
      <c r="Z25">
        <v>2130000</v>
      </c>
      <c r="AA25">
        <v>2130000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1832-0B41-4DBF-B906-C96682B553C5}">
  <dimension ref="A1:AB29"/>
  <sheetViews>
    <sheetView tabSelected="1" topLeftCell="A11" workbookViewId="0">
      <selection activeCell="G33" sqref="G33"/>
    </sheetView>
  </sheetViews>
  <sheetFormatPr defaultRowHeight="14.4" x14ac:dyDescent="0.3"/>
  <cols>
    <col min="1" max="1" width="18.77734375" customWidth="1"/>
    <col min="2" max="2" width="11.21875" bestFit="1" customWidth="1"/>
    <col min="3" max="28" width="12.21875" bestFit="1" customWidth="1"/>
  </cols>
  <sheetData>
    <row r="1" spans="1:28" ht="18" x14ac:dyDescent="0.35">
      <c r="A1" s="13" t="s">
        <v>48</v>
      </c>
    </row>
    <row r="2" spans="1:28" ht="28.8" x14ac:dyDescent="0.3">
      <c r="A2" s="12" t="s">
        <v>14</v>
      </c>
      <c r="B2" s="12" t="s">
        <v>51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</row>
    <row r="3" spans="1:28" x14ac:dyDescent="0.3">
      <c r="A3" t="s">
        <v>1</v>
      </c>
      <c r="B3" s="14">
        <f>SUM(Table4[[#This Row],[2025]:[2050]])</f>
        <v>8078750.5094005009</v>
      </c>
      <c r="C3" s="1">
        <f>Sheet1!D7*1000</f>
        <v>330207.22323423484</v>
      </c>
      <c r="D3" s="1">
        <f>Sheet1!E7*1000</f>
        <v>372387.38122389803</v>
      </c>
      <c r="E3" s="1">
        <f>Sheet1!F7*1000</f>
        <v>425807.34881569311</v>
      </c>
      <c r="F3" s="1">
        <f>Sheet1!G7*1000</f>
        <v>454969.30686254118</v>
      </c>
      <c r="G3" s="1">
        <f>Sheet1!H7*1000</f>
        <v>498981.87373021489</v>
      </c>
      <c r="H3" s="1">
        <f>Sheet1!I7*1000</f>
        <v>531153.87893088209</v>
      </c>
      <c r="I3" s="1">
        <f>Sheet1!J7*1000</f>
        <v>546766.18464930076</v>
      </c>
      <c r="J3" s="1">
        <f>Sheet1!K7*1000</f>
        <v>509415.80907402455</v>
      </c>
      <c r="K3" s="1">
        <f>Sheet1!L7*1000</f>
        <v>464614.29537275305</v>
      </c>
      <c r="L3" s="1">
        <f>Sheet1!M7*1000</f>
        <v>415111.10018145468</v>
      </c>
      <c r="M3" s="1">
        <f>Sheet1!N7*1000</f>
        <v>397303.36705888371</v>
      </c>
      <c r="N3" s="1">
        <f>Sheet1!O7*1000</f>
        <v>401103.48016575823</v>
      </c>
      <c r="O3" s="1">
        <f>Sheet1!P7*1000</f>
        <v>410442.14496157254</v>
      </c>
      <c r="P3" s="1">
        <f>Sheet1!Q7*1000</f>
        <v>419081.94089056453</v>
      </c>
      <c r="Q3" s="1">
        <f>Sheet1!R7*1000</f>
        <v>422660.13175796228</v>
      </c>
      <c r="R3" s="1">
        <f>Sheet1!S7*1000</f>
        <v>344035.12735009234</v>
      </c>
      <c r="S3" s="1">
        <f>Sheet1!T7*1000</f>
        <v>243013.59823400876</v>
      </c>
      <c r="T3" s="1">
        <f>Sheet1!U7*1000</f>
        <v>155467.31591777503</v>
      </c>
      <c r="U3" s="1">
        <f>Sheet1!V7*1000</f>
        <v>111711.86506463344</v>
      </c>
      <c r="V3" s="1">
        <f>Sheet1!W7*1000</f>
        <v>103876.17105364415</v>
      </c>
      <c r="W3" s="1">
        <f>Sheet1!X7*1000</f>
        <v>85268.963538013544</v>
      </c>
      <c r="X3" s="1">
        <f>Sheet1!Y7*1000</f>
        <v>83587.710773937564</v>
      </c>
      <c r="Y3" s="1">
        <f>Sheet1!Z7*1000</f>
        <v>84353.223919380893</v>
      </c>
      <c r="Z3" s="1">
        <f>Sheet1!AA7*1000</f>
        <v>103079.34078014438</v>
      </c>
      <c r="AA3" s="1">
        <f>Sheet1!AB7*1000</f>
        <v>117593.66718478651</v>
      </c>
      <c r="AB3" s="1">
        <f>Sheet1!AC7*1000</f>
        <v>46758.058674346314</v>
      </c>
    </row>
    <row r="4" spans="1:28" x14ac:dyDescent="0.3">
      <c r="A4" t="s">
        <v>2</v>
      </c>
      <c r="B4" s="14">
        <f>SUM(Table4[[#This Row],[2025]:[2050]])</f>
        <v>222.20376285535889</v>
      </c>
      <c r="C4" s="1">
        <f>Sheet1!D8/Sheet1!$D$21*1000</f>
        <v>13.089219440959562</v>
      </c>
      <c r="D4" s="1">
        <f>Sheet1!E8/Sheet1!$D$21*1000</f>
        <v>11.824000069563986</v>
      </c>
      <c r="E4" s="1">
        <f>Sheet1!F8/Sheet1!$D$21*1000</f>
        <v>7.9218497317544676</v>
      </c>
      <c r="F4" s="1">
        <f>Sheet1!G8/Sheet1!$D$21*1000</f>
        <v>8.6622073446355223</v>
      </c>
      <c r="G4" s="1">
        <f>Sheet1!H8/Sheet1!$D$21*1000</f>
        <v>10.313236362775154</v>
      </c>
      <c r="H4" s="1">
        <f>Sheet1!I8/Sheet1!$D$21*1000</f>
        <v>13.049124354543984</v>
      </c>
      <c r="I4" s="1">
        <f>Sheet1!J8/Sheet1!$D$21*1000</f>
        <v>12.299453286804722</v>
      </c>
      <c r="J4" s="1">
        <f>Sheet1!K8/Sheet1!$D$21*1000</f>
        <v>11.815423759714228</v>
      </c>
      <c r="K4" s="1">
        <f>Sheet1!L8/Sheet1!$D$21*1000</f>
        <v>9.5903893710108612</v>
      </c>
      <c r="L4" s="1">
        <f>Sheet1!M8/Sheet1!$D$21*1000</f>
        <v>7.3838409121617605</v>
      </c>
      <c r="M4" s="1">
        <f>Sheet1!N8/Sheet1!$D$21*1000</f>
        <v>8.1420213894128608</v>
      </c>
      <c r="N4" s="1">
        <f>Sheet1!O8/Sheet1!$D$21*1000</f>
        <v>7.6291493763301936</v>
      </c>
      <c r="O4" s="1">
        <f>Sheet1!P8/Sheet1!$D$21*1000</f>
        <v>8.3114247524619316</v>
      </c>
      <c r="P4" s="1">
        <f>Sheet1!Q8/Sheet1!$D$21*1000</f>
        <v>9.3866632908067178</v>
      </c>
      <c r="Q4" s="1">
        <f>Sheet1!R8/Sheet1!$D$21*1000</f>
        <v>10.341505318081149</v>
      </c>
      <c r="R4" s="1">
        <f>Sheet1!S8/Sheet1!$D$21*1000</f>
        <v>17.415343009569817</v>
      </c>
      <c r="S4" s="1">
        <f>Sheet1!T8/Sheet1!$D$21*1000</f>
        <v>3.6881185222885002</v>
      </c>
      <c r="T4" s="1">
        <f>Sheet1!U8/Sheet1!$D$21*1000</f>
        <v>3.9376600389601144</v>
      </c>
      <c r="U4" s="1">
        <f>Sheet1!V8/Sheet1!$D$21*1000</f>
        <v>3.1711062997397752</v>
      </c>
      <c r="V4" s="1">
        <f>Sheet1!W8/Sheet1!$D$21*1000</f>
        <v>1.5981629761979876</v>
      </c>
      <c r="W4" s="1">
        <f>Sheet1!X8/Sheet1!$D$21*1000</f>
        <v>2.9530632731708994</v>
      </c>
      <c r="X4" s="1">
        <f>Sheet1!Y8/Sheet1!$D$21*1000</f>
        <v>3.5422896002211899</v>
      </c>
      <c r="Y4" s="1">
        <f>Sheet1!Z8/Sheet1!$D$21*1000</f>
        <v>6.4035141775449196</v>
      </c>
      <c r="Z4" s="1">
        <f>Sheet1!AA8/Sheet1!$D$21*1000</f>
        <v>8.9254208997387998</v>
      </c>
      <c r="AA4" s="1">
        <f>Sheet1!AB8/Sheet1!$D$21*1000</f>
        <v>16.804953224146399</v>
      </c>
      <c r="AB4" s="1">
        <f>Sheet1!AC8/Sheet1!$D$21*1000</f>
        <v>4.0046220727634001</v>
      </c>
    </row>
    <row r="5" spans="1:28" x14ac:dyDescent="0.3">
      <c r="A5" t="s">
        <v>3</v>
      </c>
      <c r="B5" s="14">
        <f>SUM(Table4[[#This Row],[2025]:[2050]])</f>
        <v>1392.863024108035</v>
      </c>
      <c r="C5" s="1">
        <f>Sheet1!D9/Sheet1!$D$21*1000</f>
        <v>60.942261405724039</v>
      </c>
      <c r="D5" s="1">
        <f>Sheet1!E9/Sheet1!$D$21*1000</f>
        <v>63.970386160344837</v>
      </c>
      <c r="E5" s="1">
        <f>Sheet1!F9/Sheet1!$D$21*1000</f>
        <v>70.252870607728383</v>
      </c>
      <c r="F5" s="1">
        <f>Sheet1!G9/Sheet1!$D$21*1000</f>
        <v>75.450714482732437</v>
      </c>
      <c r="G5" s="1">
        <f>Sheet1!H9/Sheet1!$D$21*1000</f>
        <v>83.023622145441934</v>
      </c>
      <c r="H5" s="1">
        <f>Sheet1!I9/Sheet1!$D$21*1000</f>
        <v>94.264687300074286</v>
      </c>
      <c r="I5" s="1">
        <f>Sheet1!J9/Sheet1!$D$21*1000</f>
        <v>97.348694411327102</v>
      </c>
      <c r="J5" s="1">
        <f>Sheet1!K9/Sheet1!$D$21*1000</f>
        <v>91.003157007132543</v>
      </c>
      <c r="K5" s="1">
        <f>Sheet1!L9/Sheet1!$D$21*1000</f>
        <v>80.837186046130128</v>
      </c>
      <c r="L5" s="1">
        <f>Sheet1!M9/Sheet1!$D$21*1000</f>
        <v>70.918979601372271</v>
      </c>
      <c r="M5" s="1">
        <f>Sheet1!N9/Sheet1!$D$21*1000</f>
        <v>70.960465799383172</v>
      </c>
      <c r="N5" s="1">
        <f>Sheet1!O9/Sheet1!$D$21*1000</f>
        <v>65.90284628546496</v>
      </c>
      <c r="O5" s="1">
        <f>Sheet1!P9/Sheet1!$D$21*1000</f>
        <v>63.934485639392953</v>
      </c>
      <c r="P5" s="1">
        <f>Sheet1!Q9/Sheet1!$D$21*1000</f>
        <v>65.408875394684998</v>
      </c>
      <c r="Q5" s="1">
        <f>Sheet1!R9/Sheet1!$D$21*1000</f>
        <v>65.501862541718154</v>
      </c>
      <c r="R5" s="1">
        <f>Sheet1!S9/Sheet1!$D$21*1000</f>
        <v>54.272181820020904</v>
      </c>
      <c r="S5" s="1">
        <f>Sheet1!T9/Sheet1!$D$21*1000</f>
        <v>34.560874628394494</v>
      </c>
      <c r="T5" s="1">
        <f>Sheet1!U9/Sheet1!$D$21*1000</f>
        <v>27.798360928516239</v>
      </c>
      <c r="U5" s="1">
        <f>Sheet1!V9/Sheet1!$D$21*1000</f>
        <v>19.124346423983898</v>
      </c>
      <c r="V5" s="1">
        <f>Sheet1!W9/Sheet1!$D$21*1000</f>
        <v>17.202951675062724</v>
      </c>
      <c r="W5" s="1">
        <f>Sheet1!X9/Sheet1!$D$21*1000</f>
        <v>17.832183820202712</v>
      </c>
      <c r="X5" s="1">
        <f>Sheet1!Y9/Sheet1!$D$21*1000</f>
        <v>18.977198387465922</v>
      </c>
      <c r="Y5" s="1">
        <f>Sheet1!Z9/Sheet1!$D$21*1000</f>
        <v>19.837696675481375</v>
      </c>
      <c r="Z5" s="1">
        <f>Sheet1!AA9/Sheet1!$D$21*1000</f>
        <v>23.775726184384098</v>
      </c>
      <c r="AA5" s="1">
        <f>Sheet1!AB9/Sheet1!$D$21*1000</f>
        <v>27.657748870266776</v>
      </c>
      <c r="AB5" s="1">
        <f>Sheet1!AC9/Sheet1!$D$21*1000</f>
        <v>12.102659865603711</v>
      </c>
    </row>
    <row r="6" spans="1:28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18" x14ac:dyDescent="0.35">
      <c r="A7" s="13" t="s">
        <v>49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x14ac:dyDescent="0.3">
      <c r="A8" s="4" t="s">
        <v>0</v>
      </c>
      <c r="B8" s="4" t="s">
        <v>50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29</v>
      </c>
      <c r="O8" s="4" t="s">
        <v>30</v>
      </c>
      <c r="P8" s="4" t="s">
        <v>31</v>
      </c>
      <c r="Q8" s="4" t="s">
        <v>32</v>
      </c>
      <c r="R8" s="4" t="s">
        <v>33</v>
      </c>
      <c r="S8" s="4" t="s">
        <v>34</v>
      </c>
      <c r="T8" s="4" t="s">
        <v>35</v>
      </c>
      <c r="U8" s="4" t="s">
        <v>36</v>
      </c>
      <c r="V8" s="4" t="s">
        <v>37</v>
      </c>
      <c r="W8" s="4" t="s">
        <v>38</v>
      </c>
      <c r="X8" s="4" t="s">
        <v>39</v>
      </c>
      <c r="Y8" s="4" t="s">
        <v>40</v>
      </c>
      <c r="Z8" s="4" t="s">
        <v>41</v>
      </c>
      <c r="AA8" s="4" t="s">
        <v>42</v>
      </c>
      <c r="AB8" s="4" t="s">
        <v>43</v>
      </c>
    </row>
    <row r="9" spans="1:28" x14ac:dyDescent="0.3">
      <c r="A9" t="s">
        <v>13</v>
      </c>
      <c r="C9" s="1">
        <f>Sheet1!D2*Sheet1!$D$20</f>
        <v>9663.0882086457259</v>
      </c>
      <c r="D9" s="1">
        <f>Sheet1!E2*Sheet1!$D$20</f>
        <v>9745.6377599778789</v>
      </c>
      <c r="E9" s="1">
        <f>Sheet1!F2*Sheet1!$D$20</f>
        <v>9924.1619825014459</v>
      </c>
      <c r="F9" s="1">
        <f>Sheet1!G2*Sheet1!$D$20</f>
        <v>9770.6221322917681</v>
      </c>
      <c r="G9" s="1">
        <f>Sheet1!H2*Sheet1!$D$20</f>
        <v>9178.3100155139491</v>
      </c>
      <c r="H9" s="1">
        <f>Sheet1!I2*Sheet1!$D$20</f>
        <v>9241.066892948078</v>
      </c>
      <c r="I9" s="1">
        <f>Sheet1!J2*Sheet1!$D$20</f>
        <v>9470.2811340836761</v>
      </c>
      <c r="J9" s="1">
        <f>Sheet1!K2*Sheet1!$D$20</f>
        <v>9470.2811340836761</v>
      </c>
      <c r="K9" s="1">
        <f>Sheet1!L2*Sheet1!$D$20</f>
        <v>9470.2811340836761</v>
      </c>
      <c r="L9" s="1">
        <f>Sheet1!M2*Sheet1!$D$20</f>
        <v>9470.2811340836761</v>
      </c>
      <c r="M9" s="1">
        <f>Sheet1!N2*Sheet1!$D$20</f>
        <v>9470.2811340836761</v>
      </c>
      <c r="N9" s="1">
        <f>Sheet1!O2*Sheet1!$D$20</f>
        <v>9470.2811340836761</v>
      </c>
      <c r="O9" s="1">
        <f>Sheet1!P2*Sheet1!$D$20</f>
        <v>9470.2811340836761</v>
      </c>
      <c r="P9" s="1">
        <f>Sheet1!Q2*Sheet1!$D$20</f>
        <v>9470.2811340836761</v>
      </c>
      <c r="Q9" s="1">
        <f>Sheet1!R2*Sheet1!$D$20</f>
        <v>9470.2811340836761</v>
      </c>
      <c r="R9" s="1">
        <f>Sheet1!S2*Sheet1!$D$20</f>
        <v>9470.2811340836761</v>
      </c>
      <c r="S9" s="1">
        <f>Sheet1!T2*Sheet1!$D$20</f>
        <v>9470.2811340836761</v>
      </c>
      <c r="T9" s="1">
        <f>Sheet1!U2*Sheet1!$D$20</f>
        <v>9470.2811340836761</v>
      </c>
      <c r="U9" s="1">
        <f>Sheet1!V2*Sheet1!$D$20</f>
        <v>9470.2811340836761</v>
      </c>
      <c r="V9" s="1">
        <f>Sheet1!W2*Sheet1!$D$20</f>
        <v>9470.2811340836761</v>
      </c>
      <c r="W9" s="1">
        <f>Sheet1!X2*Sheet1!$D$20</f>
        <v>9470.2811340836761</v>
      </c>
      <c r="X9" s="1">
        <f>Sheet1!Y2*Sheet1!$D$20</f>
        <v>9470.2811340836761</v>
      </c>
      <c r="Y9" s="1">
        <f>Sheet1!Z2*Sheet1!$D$20</f>
        <v>9470.2811340836761</v>
      </c>
      <c r="Z9" s="1">
        <f>Sheet1!AA2*Sheet1!$D$20</f>
        <v>9470.2811340836761</v>
      </c>
      <c r="AA9" s="1">
        <f>Sheet1!AB2*Sheet1!$D$20</f>
        <v>9470.2811340836761</v>
      </c>
      <c r="AB9" s="1">
        <f>Sheet1!AC2*Sheet1!$D$20</f>
        <v>9470.2811340836761</v>
      </c>
    </row>
    <row r="10" spans="1:28" x14ac:dyDescent="0.3">
      <c r="A10" t="s">
        <v>15</v>
      </c>
      <c r="C10" s="1">
        <f>Sheet1!D3*Sheet1!$D$21</f>
        <v>79501746.043779418</v>
      </c>
      <c r="D10" s="1">
        <f>Sheet1!E3*Sheet1!$D$21</f>
        <v>84824587.095794261</v>
      </c>
      <c r="E10" s="1">
        <f>Sheet1!F3*Sheet1!$D$21</f>
        <v>76799402.313642412</v>
      </c>
      <c r="F10" s="1">
        <f>Sheet1!G3*Sheet1!$D$21</f>
        <v>73435418.938287139</v>
      </c>
      <c r="G10" s="1">
        <f>Sheet1!H3*Sheet1!$D$21</f>
        <v>69065091.350921601</v>
      </c>
      <c r="H10" s="1">
        <f>Sheet1!I3*Sheet1!$D$21</f>
        <v>68166237.134637758</v>
      </c>
      <c r="I10" s="1">
        <f>Sheet1!J3*Sheet1!$D$21</f>
        <v>70699197.977853388</v>
      </c>
      <c r="J10" s="1">
        <f>Sheet1!K3*Sheet1!$D$21</f>
        <v>70699197.977853388</v>
      </c>
      <c r="K10" s="1">
        <f>Sheet1!L3*Sheet1!$D$21</f>
        <v>70699197.977853388</v>
      </c>
      <c r="L10" s="1">
        <f>Sheet1!M3*Sheet1!$D$21</f>
        <v>70699197.977853388</v>
      </c>
      <c r="M10" s="1">
        <f>Sheet1!N3*Sheet1!$D$21</f>
        <v>70699197.977853388</v>
      </c>
      <c r="N10" s="1">
        <f>Sheet1!O3*Sheet1!$D$21</f>
        <v>70699197.977853388</v>
      </c>
      <c r="O10" s="1">
        <f>Sheet1!P3*Sheet1!$D$21</f>
        <v>70699197.977853388</v>
      </c>
      <c r="P10" s="1">
        <f>Sheet1!Q3*Sheet1!$D$21</f>
        <v>70699197.977853388</v>
      </c>
      <c r="Q10" s="1">
        <f>Sheet1!R3*Sheet1!$D$21</f>
        <v>70699197.977853388</v>
      </c>
      <c r="R10" s="1">
        <f>Sheet1!S3*Sheet1!$D$21</f>
        <v>70699197.977853388</v>
      </c>
      <c r="S10" s="1">
        <f>Sheet1!T3*Sheet1!$D$21</f>
        <v>70699197.977853388</v>
      </c>
      <c r="T10" s="1">
        <f>Sheet1!U3*Sheet1!$D$21</f>
        <v>70699197.977853388</v>
      </c>
      <c r="U10" s="1">
        <f>Sheet1!V3*Sheet1!$D$21</f>
        <v>70699197.977853388</v>
      </c>
      <c r="V10" s="1">
        <f>Sheet1!W3*Sheet1!$D$21</f>
        <v>70699197.977853388</v>
      </c>
      <c r="W10" s="1">
        <f>Sheet1!X3*Sheet1!$D$21</f>
        <v>70699197.977853388</v>
      </c>
      <c r="X10" s="1">
        <f>Sheet1!Y3*Sheet1!$D$21</f>
        <v>70699197.977853388</v>
      </c>
      <c r="Y10" s="1">
        <f>Sheet1!Z3*Sheet1!$D$21</f>
        <v>70699197.977853388</v>
      </c>
      <c r="Z10" s="1">
        <f>Sheet1!AA3*Sheet1!$D$21</f>
        <v>70699197.977853388</v>
      </c>
      <c r="AA10" s="1">
        <f>Sheet1!AB3*Sheet1!$D$21</f>
        <v>70699197.977853388</v>
      </c>
      <c r="AB10" s="1">
        <f>Sheet1!AC3*Sheet1!$D$21</f>
        <v>70699197.977853388</v>
      </c>
    </row>
    <row r="11" spans="1:28" x14ac:dyDescent="0.3">
      <c r="A11" t="s">
        <v>16</v>
      </c>
      <c r="C11" s="1">
        <f>Sheet1!D4*Sheet1!$D$21</f>
        <v>940500.51055019547</v>
      </c>
      <c r="D11" s="1">
        <f>Sheet1!E4*Sheet1!$D$21</f>
        <v>974202.93158279511</v>
      </c>
      <c r="E11" s="1">
        <f>Sheet1!F4*Sheet1!$D$21</f>
        <v>924862.79884983634</v>
      </c>
      <c r="F11" s="1">
        <f>Sheet1!G4*Sheet1!$D$21</f>
        <v>860673.96541015676</v>
      </c>
      <c r="G11" s="1">
        <f>Sheet1!H4*Sheet1!$D$21</f>
        <v>805010.7209044114</v>
      </c>
      <c r="H11" s="1">
        <f>Sheet1!I4*Sheet1!$D$21</f>
        <v>839710.23130937514</v>
      </c>
      <c r="I11" s="1">
        <f>Sheet1!J4*Sheet1!$D$21</f>
        <v>853227.47567791038</v>
      </c>
      <c r="J11" s="1">
        <f>Sheet1!K4*Sheet1!$D$21</f>
        <v>853227.47567791038</v>
      </c>
      <c r="K11" s="1">
        <f>Sheet1!L4*Sheet1!$D$21</f>
        <v>853227.47567791038</v>
      </c>
      <c r="L11" s="1">
        <f>Sheet1!M4*Sheet1!$D$21</f>
        <v>853227.47567791038</v>
      </c>
      <c r="M11" s="1">
        <f>Sheet1!N4*Sheet1!$D$21</f>
        <v>853227.47567791038</v>
      </c>
      <c r="N11" s="1">
        <f>Sheet1!O4*Sheet1!$D$21</f>
        <v>853227.47567791038</v>
      </c>
      <c r="O11" s="1">
        <f>Sheet1!P4*Sheet1!$D$21</f>
        <v>853227.47567791038</v>
      </c>
      <c r="P11" s="1">
        <f>Sheet1!Q4*Sheet1!$D$21</f>
        <v>853227.47567791038</v>
      </c>
      <c r="Q11" s="1">
        <f>Sheet1!R4*Sheet1!$D$21</f>
        <v>853227.47567791038</v>
      </c>
      <c r="R11" s="1">
        <f>Sheet1!S4*Sheet1!$D$21</f>
        <v>853227.47567791038</v>
      </c>
      <c r="S11" s="1">
        <f>Sheet1!T4*Sheet1!$D$21</f>
        <v>853227.47567791038</v>
      </c>
      <c r="T11" s="1">
        <f>Sheet1!U4*Sheet1!$D$21</f>
        <v>853227.47567791038</v>
      </c>
      <c r="U11" s="1">
        <f>Sheet1!V4*Sheet1!$D$21</f>
        <v>853227.47567791038</v>
      </c>
      <c r="V11" s="1">
        <f>Sheet1!W4*Sheet1!$D$21</f>
        <v>853227.47567791038</v>
      </c>
      <c r="W11" s="1">
        <f>Sheet1!X4*Sheet1!$D$21</f>
        <v>853227.47567791038</v>
      </c>
      <c r="X11" s="1">
        <f>Sheet1!Y4*Sheet1!$D$21</f>
        <v>853227.47567791038</v>
      </c>
      <c r="Y11" s="1">
        <f>Sheet1!Z4*Sheet1!$D$21</f>
        <v>853227.47567791038</v>
      </c>
      <c r="Z11" s="1">
        <f>Sheet1!AA4*Sheet1!$D$21</f>
        <v>853227.47567791038</v>
      </c>
      <c r="AA11" s="1">
        <f>Sheet1!AB4*Sheet1!$D$21</f>
        <v>853227.47567791038</v>
      </c>
      <c r="AB11" s="1">
        <f>Sheet1!AC4*Sheet1!$D$21</f>
        <v>853227.47567791038</v>
      </c>
    </row>
    <row r="12" spans="1:2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x14ac:dyDescent="0.3">
      <c r="A13" s="4" t="s">
        <v>7</v>
      </c>
      <c r="B13" s="4" t="s">
        <v>51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  <c r="L13" s="4" t="s">
        <v>27</v>
      </c>
      <c r="M13" s="4" t="s">
        <v>28</v>
      </c>
      <c r="N13" s="4" t="s">
        <v>29</v>
      </c>
      <c r="O13" s="4" t="s">
        <v>30</v>
      </c>
      <c r="P13" s="4" t="s">
        <v>31</v>
      </c>
      <c r="Q13" s="4" t="s">
        <v>32</v>
      </c>
      <c r="R13" s="4" t="s">
        <v>33</v>
      </c>
      <c r="S13" s="4" t="s">
        <v>34</v>
      </c>
      <c r="T13" s="4" t="s">
        <v>35</v>
      </c>
      <c r="U13" s="4" t="s">
        <v>36</v>
      </c>
      <c r="V13" s="4" t="s">
        <v>37</v>
      </c>
      <c r="W13" s="4" t="s">
        <v>38</v>
      </c>
      <c r="X13" s="4" t="s">
        <v>39</v>
      </c>
      <c r="Y13" s="4" t="s">
        <v>40</v>
      </c>
      <c r="Z13" s="4" t="s">
        <v>41</v>
      </c>
      <c r="AA13" s="4" t="s">
        <v>42</v>
      </c>
      <c r="AB13" s="4" t="s">
        <v>43</v>
      </c>
    </row>
    <row r="14" spans="1:28" x14ac:dyDescent="0.3">
      <c r="A14" t="s">
        <v>1</v>
      </c>
      <c r="B14" s="14">
        <f>SUM(Table13[[#This Row],[2025]:[2050]])</f>
        <v>76736.719565090636</v>
      </c>
      <c r="C14" s="1">
        <f t="shared" ref="C14:AB14" si="0">C9*C3/1000000</f>
        <v>3190.821525244382</v>
      </c>
      <c r="D14" s="1">
        <f t="shared" si="0"/>
        <v>3629.1525237948981</v>
      </c>
      <c r="E14" s="1">
        <f t="shared" si="0"/>
        <v>4225.7811029864333</v>
      </c>
      <c r="F14" s="1">
        <f t="shared" si="0"/>
        <v>4445.3331791445908</v>
      </c>
      <c r="G14" s="1">
        <f t="shared" si="0"/>
        <v>4579.8103292179476</v>
      </c>
      <c r="H14" s="1">
        <f t="shared" si="0"/>
        <v>4908.4285256491257</v>
      </c>
      <c r="I14" s="1">
        <f t="shared" si="0"/>
        <v>5178.0294832391846</v>
      </c>
      <c r="J14" s="1">
        <f t="shared" si="0"/>
        <v>4824.3109260777064</v>
      </c>
      <c r="K14" s="1">
        <f t="shared" si="0"/>
        <v>4400.0279960941643</v>
      </c>
      <c r="L14" s="1">
        <f t="shared" si="0"/>
        <v>3931.2188205971488</v>
      </c>
      <c r="M14" s="1">
        <f t="shared" si="0"/>
        <v>3762.5745815656683</v>
      </c>
      <c r="N14" s="1">
        <f t="shared" si="0"/>
        <v>3798.5627210290863</v>
      </c>
      <c r="O14" s="1">
        <f t="shared" si="0"/>
        <v>3887.002502062418</v>
      </c>
      <c r="P14" s="1">
        <f t="shared" si="0"/>
        <v>3968.8237984510838</v>
      </c>
      <c r="Q14" s="1">
        <f t="shared" si="0"/>
        <v>4002.710271916751</v>
      </c>
      <c r="R14" s="1">
        <f t="shared" si="0"/>
        <v>3258.1093760056542</v>
      </c>
      <c r="S14" s="1">
        <f t="shared" si="0"/>
        <v>2301.4070946813235</v>
      </c>
      <c r="T14" s="1">
        <f t="shared" si="0"/>
        <v>1472.3191889027316</v>
      </c>
      <c r="U14" s="1">
        <f t="shared" si="0"/>
        <v>1057.9427681748994</v>
      </c>
      <c r="V14" s="1">
        <f t="shared" si="0"/>
        <v>983.73654301017507</v>
      </c>
      <c r="W14" s="1">
        <f t="shared" si="0"/>
        <v>807.52105671691857</v>
      </c>
      <c r="X14" s="1">
        <f t="shared" si="0"/>
        <v>791.59912038366372</v>
      </c>
      <c r="Y14" s="1">
        <f t="shared" si="0"/>
        <v>798.84874508284884</v>
      </c>
      <c r="Z14" s="1">
        <f t="shared" si="0"/>
        <v>976.19033630398349</v>
      </c>
      <c r="AA14" s="1">
        <f t="shared" si="0"/>
        <v>1113.6450878277983</v>
      </c>
      <c r="AB14" s="1">
        <f t="shared" si="0"/>
        <v>442.81196093003945</v>
      </c>
    </row>
    <row r="15" spans="1:28" x14ac:dyDescent="0.3">
      <c r="A15" t="s">
        <v>2</v>
      </c>
      <c r="B15" s="14">
        <f>SUM(Table13[[#This Row],[2025]:[2050]])</f>
        <v>16013.985673189949</v>
      </c>
      <c r="C15" s="1">
        <f t="shared" ref="C15:AB15" si="1">C10*C4/1000000</f>
        <v>1040.6157999064676</v>
      </c>
      <c r="D15" s="1">
        <f t="shared" si="1"/>
        <v>1002.9659237214078</v>
      </c>
      <c r="E15" s="1">
        <f t="shared" si="1"/>
        <v>608.39332461723166</v>
      </c>
      <c r="F15" s="1">
        <f t="shared" si="1"/>
        <v>636.11282528361733</v>
      </c>
      <c r="G15" s="1">
        <f t="shared" si="1"/>
        <v>712.28461151871238</v>
      </c>
      <c r="H15" s="1">
        <f t="shared" si="1"/>
        <v>889.50970515122208</v>
      </c>
      <c r="I15" s="1">
        <f t="shared" si="1"/>
        <v>869.56148294316665</v>
      </c>
      <c r="J15" s="1">
        <f t="shared" si="1"/>
        <v>835.34098358026915</v>
      </c>
      <c r="K15" s="1">
        <f t="shared" si="1"/>
        <v>678.03283682579763</v>
      </c>
      <c r="L15" s="1">
        <f t="shared" si="1"/>
        <v>522.03163048589784</v>
      </c>
      <c r="M15" s="1">
        <f t="shared" si="1"/>
        <v>575.63438215001679</v>
      </c>
      <c r="N15" s="1">
        <f t="shared" si="1"/>
        <v>539.374742159785</v>
      </c>
      <c r="O15" s="1">
        <f t="shared" si="1"/>
        <v>587.61106405233716</v>
      </c>
      <c r="P15" s="1">
        <f t="shared" si="1"/>
        <v>663.62956634819295</v>
      </c>
      <c r="Q15" s="1">
        <f t="shared" si="1"/>
        <v>731.13613187204282</v>
      </c>
      <c r="R15" s="1">
        <f t="shared" si="1"/>
        <v>1231.2507832858016</v>
      </c>
      <c r="S15" s="1">
        <f t="shared" si="1"/>
        <v>260.74702157306274</v>
      </c>
      <c r="T15" s="1">
        <f t="shared" si="1"/>
        <v>278.38940666392301</v>
      </c>
      <c r="U15" s="1">
        <f t="shared" si="1"/>
        <v>224.19467209412045</v>
      </c>
      <c r="V15" s="1">
        <f t="shared" si="1"/>
        <v>112.98884065509692</v>
      </c>
      <c r="W15" s="1">
        <f t="shared" si="1"/>
        <v>208.77920499103715</v>
      </c>
      <c r="X15" s="1">
        <f t="shared" si="1"/>
        <v>250.43703374092902</v>
      </c>
      <c r="Y15" s="1">
        <f t="shared" si="1"/>
        <v>452.72331659223926</v>
      </c>
      <c r="Z15" s="1">
        <f t="shared" si="1"/>
        <v>631.02009922630373</v>
      </c>
      <c r="AA15" s="1">
        <f t="shared" si="1"/>
        <v>1188.0967150024917</v>
      </c>
      <c r="AB15" s="1">
        <f t="shared" si="1"/>
        <v>283.12356874878122</v>
      </c>
    </row>
    <row r="16" spans="1:28" x14ac:dyDescent="0.3">
      <c r="A16" t="s">
        <v>3</v>
      </c>
      <c r="B16" s="14">
        <f>SUM(Table13[[#This Row],[2025]:[2050]])</f>
        <v>1201.8035663772898</v>
      </c>
      <c r="C16" s="1">
        <f t="shared" ref="C16:AB16" si="2">C11*C5/1000000</f>
        <v>57.316227966166927</v>
      </c>
      <c r="D16" s="1">
        <f t="shared" si="2"/>
        <v>62.3201377318914</v>
      </c>
      <c r="E16" s="1">
        <f t="shared" si="2"/>
        <v>64.974266537499076</v>
      </c>
      <c r="F16" s="1">
        <f t="shared" si="2"/>
        <v>64.938465626882873</v>
      </c>
      <c r="G16" s="1">
        <f t="shared" si="2"/>
        <v>66.83490591539767</v>
      </c>
      <c r="H16" s="1">
        <f t="shared" si="2"/>
        <v>79.155022377051296</v>
      </c>
      <c r="I16" s="1">
        <f t="shared" si="2"/>
        <v>83.060580793116927</v>
      </c>
      <c r="J16" s="1">
        <f t="shared" si="2"/>
        <v>77.646393931916236</v>
      </c>
      <c r="K16" s="1">
        <f t="shared" si="2"/>
        <v>68.972508191045208</v>
      </c>
      <c r="L16" s="1">
        <f t="shared" si="2"/>
        <v>60.510021942932084</v>
      </c>
      <c r="M16" s="1">
        <f t="shared" si="2"/>
        <v>60.545419106936393</v>
      </c>
      <c r="N16" s="1">
        <f t="shared" si="2"/>
        <v>56.230119176136618</v>
      </c>
      <c r="O16" s="1">
        <f t="shared" si="2"/>
        <v>54.550659790864863</v>
      </c>
      <c r="P16" s="1">
        <f t="shared" si="2"/>
        <v>55.808649639938061</v>
      </c>
      <c r="Q16" s="1">
        <f t="shared" si="2"/>
        <v>55.887988828671659</v>
      </c>
      <c r="R16" s="1">
        <f t="shared" si="2"/>
        <v>46.306516693829018</v>
      </c>
      <c r="S16" s="1">
        <f t="shared" si="2"/>
        <v>29.488287816405773</v>
      </c>
      <c r="T16" s="1">
        <f t="shared" si="2"/>
        <v>23.718325323021364</v>
      </c>
      <c r="U16" s="1">
        <f t="shared" si="2"/>
        <v>16.317417823325652</v>
      </c>
      <c r="V16" s="1">
        <f t="shared" si="2"/>
        <v>14.678031031922849</v>
      </c>
      <c r="W16" s="1">
        <f t="shared" si="2"/>
        <v>15.214909186736037</v>
      </c>
      <c r="X16" s="1">
        <f t="shared" si="2"/>
        <v>16.191867075576461</v>
      </c>
      <c r="Y16" s="1">
        <f t="shared" si="2"/>
        <v>16.926067857685048</v>
      </c>
      <c r="Z16" s="1">
        <f t="shared" si="2"/>
        <v>20.28610283471124</v>
      </c>
      <c r="AA16" s="1">
        <f t="shared" si="2"/>
        <v>23.5983512515113</v>
      </c>
      <c r="AB16" s="1">
        <f t="shared" si="2"/>
        <v>10.326321926117412</v>
      </c>
    </row>
    <row r="17" spans="1:28" ht="18" x14ac:dyDescent="0.35">
      <c r="A17" t="s">
        <v>44</v>
      </c>
      <c r="B17" s="15">
        <f>SUBTOTAL(109,Table13[Grand Total])</f>
        <v>93952.508804657875</v>
      </c>
      <c r="C17" s="1">
        <f>SUBTOTAL(109,Table13[2025])</f>
        <v>4288.7535531170161</v>
      </c>
      <c r="D17" s="1">
        <f>SUBTOTAL(109,Table13[2026])</f>
        <v>4694.4385852481973</v>
      </c>
      <c r="E17" s="1">
        <f>SUBTOTAL(109,Table13[2027])</f>
        <v>4899.148694141164</v>
      </c>
      <c r="F17" s="1">
        <f>SUBTOTAL(109,Table13[2028])</f>
        <v>5146.3844700550908</v>
      </c>
      <c r="G17" s="1">
        <f>SUBTOTAL(109,Table13[2029])</f>
        <v>5358.9298466520577</v>
      </c>
      <c r="H17" s="1">
        <f>SUBTOTAL(109,Table13[2030])</f>
        <v>5877.0932531773988</v>
      </c>
      <c r="I17" s="1">
        <f>SUBTOTAL(109,Table13[2031])</f>
        <v>6130.6515469754686</v>
      </c>
      <c r="J17" s="1">
        <f>SUBTOTAL(109,Table13[2032])</f>
        <v>5737.2983035898924</v>
      </c>
      <c r="K17" s="1">
        <f>SUBTOTAL(109,Table13[2033])</f>
        <v>5147.0333411110078</v>
      </c>
      <c r="L17" s="1">
        <f>SUBTOTAL(109,Table13[2034])</f>
        <v>4513.7604730259791</v>
      </c>
      <c r="M17" s="1">
        <f>SUBTOTAL(109,Table13[2035])</f>
        <v>4398.7543828226217</v>
      </c>
      <c r="N17" s="1">
        <f>SUBTOTAL(109,Table13[2036])</f>
        <v>4394.1675823650075</v>
      </c>
      <c r="O17" s="1">
        <f>SUBTOTAL(109,Table13[2037])</f>
        <v>4529.1642259056207</v>
      </c>
      <c r="P17" s="1">
        <f>SUBTOTAL(109,Table13[2038])</f>
        <v>4688.2620144392149</v>
      </c>
      <c r="Q17" s="1">
        <f>SUBTOTAL(109,Table13[2039])</f>
        <v>4789.7343926174653</v>
      </c>
      <c r="R17" s="1">
        <f>SUBTOTAL(109,Table13[2040])</f>
        <v>4535.6666759852842</v>
      </c>
      <c r="S17" s="1">
        <f>SUBTOTAL(109,Table13[2041])</f>
        <v>2591.6424040707921</v>
      </c>
      <c r="T17" s="1">
        <f>SUBTOTAL(109,Table13[2042])</f>
        <v>1774.426920889676</v>
      </c>
      <c r="U17" s="1">
        <f>SUBTOTAL(109,Table13[2043])</f>
        <v>1298.4548580923456</v>
      </c>
      <c r="V17" s="1">
        <f>SUBTOTAL(109,Table13[2044])</f>
        <v>1111.4034146971949</v>
      </c>
      <c r="W17" s="1">
        <f>SUBTOTAL(109,Table13[2045])</f>
        <v>1031.5151708946919</v>
      </c>
      <c r="X17" s="1">
        <f>SUBTOTAL(109,Table13[2046])</f>
        <v>1058.2280212001692</v>
      </c>
      <c r="Y17" s="1">
        <f>SUBTOTAL(109,Table13[2047])</f>
        <v>1268.4981295327732</v>
      </c>
      <c r="Z17" s="1">
        <f>SUBTOTAL(109,Table13[2048])</f>
        <v>1627.4965383649985</v>
      </c>
      <c r="AA17" s="1">
        <f>SUBTOTAL(109,Table13[2049])</f>
        <v>2325.3401540818013</v>
      </c>
      <c r="AB17" s="1">
        <f>SUBTOTAL(109,Table13[2050])</f>
        <v>736.2618516049381</v>
      </c>
    </row>
    <row r="18" spans="1:28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8" x14ac:dyDescent="0.35">
      <c r="A19" s="13" t="s">
        <v>47</v>
      </c>
    </row>
    <row r="20" spans="1:28" x14ac:dyDescent="0.3">
      <c r="A20" t="s">
        <v>45</v>
      </c>
      <c r="B20" t="s">
        <v>50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 t="s">
        <v>33</v>
      </c>
      <c r="S20" t="s">
        <v>34</v>
      </c>
      <c r="T20" t="s">
        <v>35</v>
      </c>
      <c r="U20" t="s">
        <v>36</v>
      </c>
      <c r="V20" t="s">
        <v>37</v>
      </c>
      <c r="W20" t="s">
        <v>38</v>
      </c>
      <c r="X20" t="s">
        <v>39</v>
      </c>
      <c r="Y20" t="s">
        <v>40</v>
      </c>
      <c r="Z20" t="s">
        <v>41</v>
      </c>
      <c r="AA20" t="s">
        <v>42</v>
      </c>
      <c r="AB20" t="s">
        <v>43</v>
      </c>
    </row>
    <row r="21" spans="1:28" x14ac:dyDescent="0.3">
      <c r="A21" t="s">
        <v>1</v>
      </c>
      <c r="C21" s="11">
        <v>14500</v>
      </c>
      <c r="D21" s="11">
        <v>14500</v>
      </c>
      <c r="E21" s="11">
        <v>14500</v>
      </c>
      <c r="F21" s="11">
        <v>14500</v>
      </c>
      <c r="G21" s="11">
        <v>14500</v>
      </c>
      <c r="H21" s="11">
        <v>14500</v>
      </c>
      <c r="I21" s="11">
        <v>14500</v>
      </c>
      <c r="J21" s="11">
        <v>14500</v>
      </c>
      <c r="K21" s="11">
        <v>14500</v>
      </c>
      <c r="L21" s="11">
        <v>14500</v>
      </c>
      <c r="M21" s="11">
        <v>14500</v>
      </c>
      <c r="N21" s="11">
        <v>14500</v>
      </c>
      <c r="O21" s="11">
        <v>14500</v>
      </c>
      <c r="P21" s="11">
        <v>14500</v>
      </c>
      <c r="Q21" s="11">
        <v>14500</v>
      </c>
      <c r="R21" s="11">
        <v>14500</v>
      </c>
      <c r="S21" s="11">
        <v>14500</v>
      </c>
      <c r="T21" s="11">
        <v>14500</v>
      </c>
      <c r="U21" s="11">
        <v>14500</v>
      </c>
      <c r="V21" s="11">
        <v>14500</v>
      </c>
      <c r="W21" s="11">
        <v>14500</v>
      </c>
      <c r="X21" s="11">
        <v>14500</v>
      </c>
      <c r="Y21" s="11">
        <v>14500</v>
      </c>
      <c r="Z21" s="11">
        <v>14500</v>
      </c>
      <c r="AA21" s="11">
        <v>14500</v>
      </c>
      <c r="AB21" s="11">
        <v>14500</v>
      </c>
    </row>
    <row r="22" spans="1:28" x14ac:dyDescent="0.3">
      <c r="A22" t="s">
        <v>2</v>
      </c>
      <c r="C22" s="11">
        <v>140400000</v>
      </c>
      <c r="D22" s="11">
        <v>140400000</v>
      </c>
      <c r="E22" s="11">
        <v>140400000</v>
      </c>
      <c r="F22" s="11">
        <v>140400000</v>
      </c>
      <c r="G22" s="11">
        <v>140400000</v>
      </c>
      <c r="H22" s="11">
        <v>140400000</v>
      </c>
      <c r="I22" s="11">
        <v>140400000</v>
      </c>
      <c r="J22" s="11">
        <v>140400000</v>
      </c>
      <c r="K22" s="11">
        <v>140400000</v>
      </c>
      <c r="L22" s="11">
        <v>140400000</v>
      </c>
      <c r="M22" s="11">
        <v>140400000</v>
      </c>
      <c r="N22" s="11">
        <v>140400000</v>
      </c>
      <c r="O22" s="11">
        <v>140400000</v>
      </c>
      <c r="P22" s="11">
        <v>140400000</v>
      </c>
      <c r="Q22" s="11">
        <v>140400000</v>
      </c>
      <c r="R22" s="11">
        <v>140400000</v>
      </c>
      <c r="S22" s="11">
        <v>140400000</v>
      </c>
      <c r="T22" s="11">
        <v>140400000</v>
      </c>
      <c r="U22" s="11">
        <v>140400000</v>
      </c>
      <c r="V22" s="11">
        <v>140400000</v>
      </c>
      <c r="W22" s="11">
        <v>140400000</v>
      </c>
      <c r="X22" s="11">
        <v>140400000</v>
      </c>
      <c r="Y22" s="11">
        <v>140400000</v>
      </c>
      <c r="Z22" s="11">
        <v>140400000</v>
      </c>
      <c r="AA22" s="11">
        <v>140400000</v>
      </c>
      <c r="AB22" s="11">
        <v>140400000</v>
      </c>
    </row>
    <row r="23" spans="1:28" x14ac:dyDescent="0.3">
      <c r="A23" t="s">
        <v>3</v>
      </c>
      <c r="C23" s="11">
        <v>2130000</v>
      </c>
      <c r="D23" s="11">
        <v>2130000</v>
      </c>
      <c r="E23" s="11">
        <v>2130000</v>
      </c>
      <c r="F23" s="11">
        <v>2130000</v>
      </c>
      <c r="G23" s="11">
        <v>2130000</v>
      </c>
      <c r="H23" s="11">
        <v>2130000</v>
      </c>
      <c r="I23" s="11">
        <v>2130000</v>
      </c>
      <c r="J23" s="11">
        <v>2130000</v>
      </c>
      <c r="K23" s="11">
        <v>2130000</v>
      </c>
      <c r="L23" s="11">
        <v>2130000</v>
      </c>
      <c r="M23" s="11">
        <v>2130000</v>
      </c>
      <c r="N23" s="11">
        <v>2130000</v>
      </c>
      <c r="O23" s="11">
        <v>2130000</v>
      </c>
      <c r="P23" s="11">
        <v>2130000</v>
      </c>
      <c r="Q23" s="11">
        <v>2130000</v>
      </c>
      <c r="R23" s="11">
        <v>2130000</v>
      </c>
      <c r="S23" s="11">
        <v>2130000</v>
      </c>
      <c r="T23" s="11">
        <v>2130000</v>
      </c>
      <c r="U23" s="11">
        <v>2130000</v>
      </c>
      <c r="V23" s="11">
        <v>2130000</v>
      </c>
      <c r="W23" s="11">
        <v>2130000</v>
      </c>
      <c r="X23" s="11">
        <v>2130000</v>
      </c>
      <c r="Y23" s="11">
        <v>2130000</v>
      </c>
      <c r="Z23" s="11">
        <v>2130000</v>
      </c>
      <c r="AA23" s="11">
        <v>2130000</v>
      </c>
      <c r="AB23" s="11">
        <v>2130000</v>
      </c>
    </row>
    <row r="25" spans="1:28" s="7" customFormat="1" x14ac:dyDescent="0.3">
      <c r="A25" t="s">
        <v>46</v>
      </c>
      <c r="B25" t="s">
        <v>51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  <c r="S25" t="s">
        <v>34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Y25" t="s">
        <v>40</v>
      </c>
      <c r="Z25" t="s">
        <v>41</v>
      </c>
      <c r="AA25" t="s">
        <v>42</v>
      </c>
      <c r="AB25" t="s">
        <v>43</v>
      </c>
    </row>
    <row r="26" spans="1:28" x14ac:dyDescent="0.3">
      <c r="A26" t="s">
        <v>1</v>
      </c>
      <c r="B26" s="14">
        <f>SUM(Table5[[#This Row],[2025]:[2050]])</f>
        <v>117141.8823863073</v>
      </c>
      <c r="C26" s="1">
        <f t="shared" ref="C26:AB26" si="3">C3*C21/1000000</f>
        <v>4788.0047368964051</v>
      </c>
      <c r="D26" s="1">
        <f t="shared" si="3"/>
        <v>5399.6170277465208</v>
      </c>
      <c r="E26" s="1">
        <f t="shared" si="3"/>
        <v>6174.2065578275497</v>
      </c>
      <c r="F26" s="1">
        <f t="shared" si="3"/>
        <v>6597.0549495068472</v>
      </c>
      <c r="G26" s="1">
        <f t="shared" si="3"/>
        <v>7235.2371690881155</v>
      </c>
      <c r="H26" s="1">
        <f t="shared" si="3"/>
        <v>7701.7312444977906</v>
      </c>
      <c r="I26" s="1">
        <f t="shared" si="3"/>
        <v>7928.1096774148609</v>
      </c>
      <c r="J26" s="1">
        <f t="shared" si="3"/>
        <v>7386.5292315733559</v>
      </c>
      <c r="K26" s="1">
        <f t="shared" si="3"/>
        <v>6736.9072829049201</v>
      </c>
      <c r="L26" s="1">
        <f t="shared" si="3"/>
        <v>6019.1109526310929</v>
      </c>
      <c r="M26" s="1">
        <f t="shared" si="3"/>
        <v>5760.8988223538145</v>
      </c>
      <c r="N26" s="1">
        <f t="shared" si="3"/>
        <v>5816.0004624034937</v>
      </c>
      <c r="O26" s="1">
        <f t="shared" si="3"/>
        <v>5951.4111019428019</v>
      </c>
      <c r="P26" s="1">
        <f t="shared" si="3"/>
        <v>6076.6881429131863</v>
      </c>
      <c r="Q26" s="1">
        <f t="shared" si="3"/>
        <v>6128.5719104904529</v>
      </c>
      <c r="R26" s="1">
        <f t="shared" si="3"/>
        <v>4988.5093465763384</v>
      </c>
      <c r="S26" s="1">
        <f t="shared" si="3"/>
        <v>3523.6971743931272</v>
      </c>
      <c r="T26" s="1">
        <f t="shared" si="3"/>
        <v>2254.2760808077378</v>
      </c>
      <c r="U26" s="1">
        <f t="shared" si="3"/>
        <v>1619.8220434371849</v>
      </c>
      <c r="V26" s="1">
        <f t="shared" si="3"/>
        <v>1506.20448027784</v>
      </c>
      <c r="W26" s="1">
        <f t="shared" si="3"/>
        <v>1236.3999713011963</v>
      </c>
      <c r="X26" s="1">
        <f t="shared" si="3"/>
        <v>1212.0218062220947</v>
      </c>
      <c r="Y26" s="1">
        <f t="shared" si="3"/>
        <v>1223.1217468310231</v>
      </c>
      <c r="Z26" s="1">
        <f t="shared" si="3"/>
        <v>1494.6504413120936</v>
      </c>
      <c r="AA26" s="1">
        <f t="shared" si="3"/>
        <v>1705.1081741794042</v>
      </c>
      <c r="AB26" s="1">
        <f t="shared" si="3"/>
        <v>677.99185077802156</v>
      </c>
    </row>
    <row r="27" spans="1:28" x14ac:dyDescent="0.3">
      <c r="A27" t="s">
        <v>2</v>
      </c>
      <c r="B27" s="14">
        <f>SUM(Table5[[#This Row],[2025]:[2050]])</f>
        <v>31197.408304892389</v>
      </c>
      <c r="C27" s="1">
        <f t="shared" ref="C27:AB27" si="4">C4*C22/1000000</f>
        <v>1837.7264095107225</v>
      </c>
      <c r="D27" s="1">
        <f t="shared" si="4"/>
        <v>1660.0896097667837</v>
      </c>
      <c r="E27" s="1">
        <f t="shared" si="4"/>
        <v>1112.2277023383272</v>
      </c>
      <c r="F27" s="1">
        <f t="shared" si="4"/>
        <v>1216.1739111868274</v>
      </c>
      <c r="G27" s="1">
        <f t="shared" si="4"/>
        <v>1447.9783853336314</v>
      </c>
      <c r="H27" s="1">
        <f t="shared" si="4"/>
        <v>1832.0970593779755</v>
      </c>
      <c r="I27" s="1">
        <f t="shared" si="4"/>
        <v>1726.843241467383</v>
      </c>
      <c r="J27" s="1">
        <f t="shared" si="4"/>
        <v>1658.8854958638778</v>
      </c>
      <c r="K27" s="1">
        <f t="shared" si="4"/>
        <v>1346.490667689925</v>
      </c>
      <c r="L27" s="1">
        <f t="shared" si="4"/>
        <v>1036.6912640675112</v>
      </c>
      <c r="M27" s="1">
        <f t="shared" si="4"/>
        <v>1143.1398030735656</v>
      </c>
      <c r="N27" s="1">
        <f t="shared" si="4"/>
        <v>1071.1325724367593</v>
      </c>
      <c r="O27" s="1">
        <f t="shared" si="4"/>
        <v>1166.9240352456552</v>
      </c>
      <c r="P27" s="1">
        <f t="shared" si="4"/>
        <v>1317.8875260292632</v>
      </c>
      <c r="Q27" s="1">
        <f t="shared" si="4"/>
        <v>1451.9473466585932</v>
      </c>
      <c r="R27" s="1">
        <f t="shared" si="4"/>
        <v>2445.1141585436026</v>
      </c>
      <c r="S27" s="1">
        <f t="shared" si="4"/>
        <v>517.81184052930541</v>
      </c>
      <c r="T27" s="1">
        <f t="shared" si="4"/>
        <v>552.84746947000008</v>
      </c>
      <c r="U27" s="1">
        <f t="shared" si="4"/>
        <v>445.22332448346441</v>
      </c>
      <c r="V27" s="1">
        <f t="shared" si="4"/>
        <v>224.38208185819744</v>
      </c>
      <c r="W27" s="1">
        <f t="shared" si="4"/>
        <v>414.61008355319427</v>
      </c>
      <c r="X27" s="1">
        <f t="shared" si="4"/>
        <v>497.33745987105505</v>
      </c>
      <c r="Y27" s="1">
        <f t="shared" si="4"/>
        <v>899.05339052730665</v>
      </c>
      <c r="Z27" s="1">
        <f t="shared" si="4"/>
        <v>1253.1290943233275</v>
      </c>
      <c r="AA27" s="1">
        <f t="shared" si="4"/>
        <v>2359.4154326701546</v>
      </c>
      <c r="AB27" s="1">
        <f t="shared" si="4"/>
        <v>562.24893901598136</v>
      </c>
    </row>
    <row r="28" spans="1:28" x14ac:dyDescent="0.3">
      <c r="A28" t="s">
        <v>3</v>
      </c>
      <c r="B28" s="14">
        <f>SUM(Table5[[#This Row],[2025]:[2050]])</f>
        <v>2966.798241350114</v>
      </c>
      <c r="C28" s="1">
        <f t="shared" ref="C28:AB28" si="5">C5*C23/1000000</f>
        <v>129.80701679419221</v>
      </c>
      <c r="D28" s="1">
        <f t="shared" si="5"/>
        <v>136.25692252153451</v>
      </c>
      <c r="E28" s="1">
        <f t="shared" si="5"/>
        <v>149.63861439446146</v>
      </c>
      <c r="F28" s="1">
        <f t="shared" si="5"/>
        <v>160.71002184822007</v>
      </c>
      <c r="G28" s="1">
        <f t="shared" si="5"/>
        <v>176.84031516979132</v>
      </c>
      <c r="H28" s="1">
        <f t="shared" si="5"/>
        <v>200.78378394915822</v>
      </c>
      <c r="I28" s="1">
        <f t="shared" si="5"/>
        <v>207.35271909612675</v>
      </c>
      <c r="J28" s="1">
        <f t="shared" si="5"/>
        <v>193.83672442519233</v>
      </c>
      <c r="K28" s="1">
        <f t="shared" si="5"/>
        <v>172.18320627825716</v>
      </c>
      <c r="L28" s="1">
        <f t="shared" si="5"/>
        <v>151.05742655092294</v>
      </c>
      <c r="M28" s="1">
        <f t="shared" si="5"/>
        <v>151.14579215268614</v>
      </c>
      <c r="N28" s="1">
        <f t="shared" si="5"/>
        <v>140.37306258804034</v>
      </c>
      <c r="O28" s="1">
        <f t="shared" si="5"/>
        <v>136.18045441190699</v>
      </c>
      <c r="P28" s="1">
        <f t="shared" si="5"/>
        <v>139.32090459067905</v>
      </c>
      <c r="Q28" s="1">
        <f t="shared" si="5"/>
        <v>139.51896721385967</v>
      </c>
      <c r="R28" s="1">
        <f t="shared" si="5"/>
        <v>115.59974727664452</v>
      </c>
      <c r="S28" s="1">
        <f t="shared" si="5"/>
        <v>73.614662958480267</v>
      </c>
      <c r="T28" s="1">
        <f t="shared" si="5"/>
        <v>59.210508777739591</v>
      </c>
      <c r="U28" s="1">
        <f t="shared" si="5"/>
        <v>40.734857883085702</v>
      </c>
      <c r="V28" s="1">
        <f t="shared" si="5"/>
        <v>36.642287067883601</v>
      </c>
      <c r="W28" s="1">
        <f t="shared" si="5"/>
        <v>37.982551537031775</v>
      </c>
      <c r="X28" s="1">
        <f t="shared" si="5"/>
        <v>40.421432565302418</v>
      </c>
      <c r="Y28" s="1">
        <f t="shared" si="5"/>
        <v>42.254293918775325</v>
      </c>
      <c r="Z28" s="1">
        <f t="shared" si="5"/>
        <v>50.642296772738128</v>
      </c>
      <c r="AA28" s="1">
        <f t="shared" si="5"/>
        <v>58.91100509366823</v>
      </c>
      <c r="AB28" s="1">
        <f t="shared" si="5"/>
        <v>25.778665513735906</v>
      </c>
    </row>
    <row r="29" spans="1:28" ht="18" x14ac:dyDescent="0.35">
      <c r="A29" t="s">
        <v>44</v>
      </c>
      <c r="B29" s="15">
        <f>SUBTOTAL(109,Table5[Grand Total])</f>
        <v>151306.08893254978</v>
      </c>
      <c r="C29" s="1">
        <f>SUBTOTAL(109,Table5[2025])</f>
        <v>6755.5381632013205</v>
      </c>
      <c r="D29" s="1">
        <f>SUBTOTAL(109,Table5[2026])</f>
        <v>7195.9635600348392</v>
      </c>
      <c r="E29" s="1">
        <f>SUBTOTAL(109,Table5[2027])</f>
        <v>7436.0728745603392</v>
      </c>
      <c r="F29" s="1">
        <f>SUBTOTAL(109,Table5[2028])</f>
        <v>7973.9388825418946</v>
      </c>
      <c r="G29" s="1">
        <f>SUBTOTAL(109,Table5[2029])</f>
        <v>8860.0558695915388</v>
      </c>
      <c r="H29" s="1">
        <f>SUBTOTAL(109,Table5[2030])</f>
        <v>9734.6120878249239</v>
      </c>
      <c r="I29" s="1">
        <f>SUBTOTAL(109,Table5[2031])</f>
        <v>9862.3056379783702</v>
      </c>
      <c r="J29" s="1">
        <f>SUBTOTAL(109,Table5[2032])</f>
        <v>9239.2514518624266</v>
      </c>
      <c r="K29" s="1">
        <f>SUBTOTAL(109,Table5[2033])</f>
        <v>8255.5811568731024</v>
      </c>
      <c r="L29" s="1">
        <f>SUBTOTAL(109,Table5[2034])</f>
        <v>7206.8596432495269</v>
      </c>
      <c r="M29" s="1">
        <f>SUBTOTAL(109,Table5[2035])</f>
        <v>7055.1844175800661</v>
      </c>
      <c r="N29" s="1">
        <f>SUBTOTAL(109,Table5[2036])</f>
        <v>7027.5060974282942</v>
      </c>
      <c r="O29" s="1">
        <f>SUBTOTAL(109,Table5[2037])</f>
        <v>7254.5155916003641</v>
      </c>
      <c r="P29" s="1">
        <f>SUBTOTAL(109,Table5[2038])</f>
        <v>7533.8965735331285</v>
      </c>
      <c r="Q29" s="1">
        <f>SUBTOTAL(109,Table5[2039])</f>
        <v>7720.0382243629056</v>
      </c>
      <c r="R29" s="1">
        <f>SUBTOTAL(109,Table5[2040])</f>
        <v>7549.2232523965858</v>
      </c>
      <c r="S29" s="1">
        <f>SUBTOTAL(109,Table5[2041])</f>
        <v>4115.1236778809125</v>
      </c>
      <c r="T29" s="1">
        <f>SUBTOTAL(109,Table5[2042])</f>
        <v>2866.3340590554776</v>
      </c>
      <c r="U29" s="1">
        <f>SUBTOTAL(109,Table5[2043])</f>
        <v>2105.780225803735</v>
      </c>
      <c r="V29" s="1">
        <f>SUBTOTAL(109,Table5[2044])</f>
        <v>1767.2288492039211</v>
      </c>
      <c r="W29" s="1">
        <f>SUBTOTAL(109,Table5[2045])</f>
        <v>1688.9926063914222</v>
      </c>
      <c r="X29" s="1">
        <f>SUBTOTAL(109,Table5[2046])</f>
        <v>1749.7806986584521</v>
      </c>
      <c r="Y29" s="1">
        <f>SUBTOTAL(109,Table5[2047])</f>
        <v>2164.4294312771049</v>
      </c>
      <c r="Z29" s="1">
        <f>SUBTOTAL(109,Table5[2048])</f>
        <v>2798.4218324081589</v>
      </c>
      <c r="AA29" s="1">
        <f>SUBTOTAL(109,Table5[2049])</f>
        <v>4123.4346119432266</v>
      </c>
      <c r="AB29" s="1">
        <f>SUBTOTAL(109,Table5[2050])</f>
        <v>1266.0194553077388</v>
      </c>
    </row>
  </sheetData>
  <phoneticPr fontId="6" type="noConversion"/>
  <pageMargins left="0.7" right="0.7" top="0.75" bottom="0.75" header="0.3" footer="0.3"/>
  <pageSetup paperSize="9" fitToHeight="0" orientation="landscape" r:id="rId1"/>
  <ignoredErrors>
    <ignoredError sqref="C9 D9:AB9 C3:AB3" calculatedColumn="1"/>
  </ignoredErrors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Bat-Erdene Chimeddorj</dc:creator>
  <cp:lastModifiedBy>Bat-Erdene Chimeddorj</cp:lastModifiedBy>
  <cp:lastPrinted>2026-09-22T03:36:59Z</cp:lastPrinted>
  <dcterms:created xsi:type="dcterms:W3CDTF">2026-09-14T02:37:12Z</dcterms:created>
  <dcterms:modified xsi:type="dcterms:W3CDTF">2026-09-22T03:42:08Z</dcterms:modified>
</cp:coreProperties>
</file>