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ngolianse-my.sharepoint.com/personal/ganjiguur_o_mse_mn/Documents/Documents/Арилжааны тайлан/2026/"/>
    </mc:Choice>
  </mc:AlternateContent>
  <xr:revisionPtr revIDLastSave="0" documentId="8_{1AFA01B0-FF76-4857-A2BE-C7EDF16043D4}" xr6:coauthVersionLast="47" xr6:coauthVersionMax="47" xr10:uidLastSave="{00000000-0000-0000-0000-000000000000}"/>
  <bookViews>
    <workbookView xWindow="-120" yWindow="-120" windowWidth="29040" windowHeight="15720" xr2:uid="{D0D8F554-7A85-43F9-AFEA-DCE9F17621FD}"/>
  </bookViews>
  <sheets>
    <sheet name="1 сар" sheetId="1" r:id="rId1"/>
  </sheets>
  <definedNames>
    <definedName name="_xlnm._FilterDatabase" localSheetId="0" hidden="1">'1 сар'!$A$13:$M$13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6" i="1" l="1"/>
  <c r="K66" i="1"/>
  <c r="J66" i="1"/>
  <c r="I66" i="1"/>
  <c r="H66" i="1"/>
  <c r="G66" i="1"/>
  <c r="F66" i="1"/>
  <c r="E66" i="1"/>
  <c r="D66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</calcChain>
</file>

<file path=xl/sharedStrings.xml><?xml version="1.0" encoding="utf-8"?>
<sst xmlns="http://schemas.openxmlformats.org/spreadsheetml/2006/main" count="219" uniqueCount="125">
  <si>
    <t xml:space="preserve">"МХБ" ХК-ИЙН ГИШҮҮН КОМПАНИУДЫН АРИЛЖААНЫ ТАЙЛАН </t>
  </si>
  <si>
    <t>№</t>
  </si>
  <si>
    <t>Үсгэн код</t>
  </si>
  <si>
    <t>Компанийн нэр</t>
  </si>
  <si>
    <t>Үйл ажиллагааны чиглэл</t>
  </si>
  <si>
    <t>2026 оны арилжааны нийт дүн</t>
  </si>
  <si>
    <t xml:space="preserve">IPO </t>
  </si>
  <si>
    <t>Үнэт цаасны хоёрдогч зах зээлийн арилжаа</t>
  </si>
  <si>
    <t xml:space="preserve">Нийт </t>
  </si>
  <si>
    <t>Нийт арилжаа</t>
  </si>
  <si>
    <t>Эзлэх хувь</t>
  </si>
  <si>
    <t>Брокер, дилер</t>
  </si>
  <si>
    <t>Андеррайтер</t>
  </si>
  <si>
    <t xml:space="preserve">Хөрөнгө оруулалтын зөвлөх </t>
  </si>
  <si>
    <t xml:space="preserve">ЗГДҮЦ </t>
  </si>
  <si>
    <t>ХУВЬЦАА /ХОС/</t>
  </si>
  <si>
    <t>КОМПАНИЙН БОНД, ХБҮЦ, ЗГДҮЦ</t>
  </si>
  <si>
    <t>GLMT</t>
  </si>
  <si>
    <t>"ГОЛОМТ КАПИТАЛ ҮЦК" ХХК</t>
  </si>
  <si>
    <t>●</t>
  </si>
  <si>
    <t>TDB</t>
  </si>
  <si>
    <t>"ТИ ДИ БИ СЕКЬЮРИТИЗ ҮЦК" ХХК</t>
  </si>
  <si>
    <t>INVC</t>
  </si>
  <si>
    <t>"ИНВЕСКОР КАПИТАЛ ҮЦК" ХХК</t>
  </si>
  <si>
    <t>BDSC</t>
  </si>
  <si>
    <t>"БИ ДИ СЕК ҮЦК" ХК</t>
  </si>
  <si>
    <t>MIBG</t>
  </si>
  <si>
    <t>"МАНДАЛ КАПИТАЛ МАРКЕТС ҮЦК" ХХК</t>
  </si>
  <si>
    <t>MNET</t>
  </si>
  <si>
    <t>"АРД СЕКЬЮРИТИЗ ҮЦК" ХХК</t>
  </si>
  <si>
    <t>ZGB</t>
  </si>
  <si>
    <t>"ТАВАНБОГД КАПИТАЛ ҮЦК" ХХК</t>
  </si>
  <si>
    <t>TTOL</t>
  </si>
  <si>
    <t>"АПЕКС КАПИТАЛ ҮЦК" ХХК</t>
  </si>
  <si>
    <t>STOK</t>
  </si>
  <si>
    <t>"СТОКЛАБ СЕКЬЮРИТИЗ ҮЦК" ХХК</t>
  </si>
  <si>
    <t>BUMB</t>
  </si>
  <si>
    <t>"БУМБАТ-АЛТАЙ ҮЦК" ХХК</t>
  </si>
  <si>
    <t>TNGR</t>
  </si>
  <si>
    <t>"ТЭНГЭР КАПИТАЛ  ҮЦК" ХХК</t>
  </si>
  <si>
    <t>RISM</t>
  </si>
  <si>
    <t>"РАЙНОС ИНВЕСТМЕНТ ҮЦК" ХХК</t>
  </si>
  <si>
    <t>ARD</t>
  </si>
  <si>
    <t>"ӨЛЗИЙ ЭНД КО КАПИТАЛ ҮЦК" ХХК</t>
  </si>
  <si>
    <t>BKOC</t>
  </si>
  <si>
    <t>"ЭС ЖИ ИНВЕСТМЕНТ ЭНД СЕКЬЮРИТИС ҮЦК" ХХК</t>
  </si>
  <si>
    <t>STIN</t>
  </si>
  <si>
    <t>"СТАНДАРТ ИНВЕСТМЕНТ ҮЦК" ХХК</t>
  </si>
  <si>
    <t>UNET</t>
  </si>
  <si>
    <t>"ҮНЭТ СЕКЬЮРИТИС ҮЦК" ХХК</t>
  </si>
  <si>
    <t>BZIN</t>
  </si>
  <si>
    <t>"МИРЭ ЭССЭТ СЕКЬЮРИТИС МОНГОЛ ҮЦК" ХХК</t>
  </si>
  <si>
    <t>SGC</t>
  </si>
  <si>
    <t>"ЭС ЖИ КАПИТАЛ ҮЦК" ХХК</t>
  </si>
  <si>
    <t>GDSC</t>
  </si>
  <si>
    <t>"ГҮҮДСЕК ҮЦК" ХХК</t>
  </si>
  <si>
    <t>DRBR</t>
  </si>
  <si>
    <t>"ДАРХАН БРОКЕР ҮЦК" ХХК</t>
  </si>
  <si>
    <t>NOVL</t>
  </si>
  <si>
    <t>"НОВЕЛ ИНВЕСТМЕНТ ҮЦК" ХХК</t>
  </si>
  <si>
    <t>GDEV</t>
  </si>
  <si>
    <t>"ГРАНДДЕВЕЛОПМЕНТ ҮЦК" ХХК</t>
  </si>
  <si>
    <t>GAUL</t>
  </si>
  <si>
    <t>"ГАҮЛИ ҮЦК" ХХК</t>
  </si>
  <si>
    <t>MSEC</t>
  </si>
  <si>
    <t>"МОНСЕК ҮЦК" ХХК</t>
  </si>
  <si>
    <t>DELG</t>
  </si>
  <si>
    <t>"ДИ ЭЙЧ КАПИТАЛ ҮЦК" ХХК</t>
  </si>
  <si>
    <t>UNDR</t>
  </si>
  <si>
    <t>"ӨНДӨРХААН ИНВЕСТ ҮЦК" ХХК</t>
  </si>
  <si>
    <t>TCHB</t>
  </si>
  <si>
    <t>"ТУЛГАТ ЧАНДМАНЬ БАЯН  ҮЦК" ХХК</t>
  </si>
  <si>
    <t>BULG</t>
  </si>
  <si>
    <t>"БУЛГАН БРОКЕР ҮЦК" ХХК</t>
  </si>
  <si>
    <t>ARGB</t>
  </si>
  <si>
    <t>"АРГАЙ БЭСТ ҮЦК" ХХК</t>
  </si>
  <si>
    <t>MICC</t>
  </si>
  <si>
    <t>"ЭМ АЙ СИ СИ  ҮЦК" ХХК</t>
  </si>
  <si>
    <t>ALTN</t>
  </si>
  <si>
    <t>"АЛТАН ХОРОМСОГ ҮЦК" ХХК</t>
  </si>
  <si>
    <t>ZRGD</t>
  </si>
  <si>
    <t>"НЭТСЭК ҮЦК" ХХК</t>
  </si>
  <si>
    <t>NSEC</t>
  </si>
  <si>
    <t>"НЭЙШНЛ СЕКЮРИТИС ҮЦК" ХХК</t>
  </si>
  <si>
    <t>MERG</t>
  </si>
  <si>
    <t>"МЭРГЭН САНАА ҮЦК" ХХК</t>
  </si>
  <si>
    <t>LFTI</t>
  </si>
  <si>
    <t>"ЛАЙФТАЙМ ИНВЕСТМЕНТ ҮЦК" ХХК</t>
  </si>
  <si>
    <t>VTCM</t>
  </si>
  <si>
    <t>"ВАНТЭЙЖ КАПИТАЛ ҮЦК" ХХК</t>
  </si>
  <si>
    <t>DOMI</t>
  </si>
  <si>
    <t>"ДОМИКС СЕК ҮЦК" ХХК</t>
  </si>
  <si>
    <t>MSSC</t>
  </si>
  <si>
    <t xml:space="preserve"> "М СЕКЬЮРИТИС ҮЦК"</t>
  </si>
  <si>
    <t>TABO</t>
  </si>
  <si>
    <t>"ТАВАН БОГД ҮЦК" ХХК</t>
  </si>
  <si>
    <t>SANR</t>
  </si>
  <si>
    <t>"САНАР ҮЦК" ХХК</t>
  </si>
  <si>
    <t>BATS</t>
  </si>
  <si>
    <t>"ФИНГЕЙТ СЕКЮРИТИС ҮЦК" ХХК</t>
  </si>
  <si>
    <t>HUN</t>
  </si>
  <si>
    <t>"ХҮННҮ ЭМПАЙР ҮЦК" ХХК</t>
  </si>
  <si>
    <t>BLAC</t>
  </si>
  <si>
    <t>"МАЗААЛАЙ КАПИТАЛ ПАРТНЕРС ҮЦК" ХХК</t>
  </si>
  <si>
    <t>SECP</t>
  </si>
  <si>
    <t>"СИКАП  ҮЦК" ХХК</t>
  </si>
  <si>
    <t>BSK</t>
  </si>
  <si>
    <t>"БЛЮСКАЙ СЕКЬЮРИТИЗ ҮЦК" ХК</t>
  </si>
  <si>
    <t>DCF</t>
  </si>
  <si>
    <t>"ДИ СИ ЭФ ҮЦК" ХХК</t>
  </si>
  <si>
    <t>SILS</t>
  </si>
  <si>
    <t>"СИЛВЭР ЛАЙТ СЕКЮРИТИЙЗ ҮЦК" ХХК</t>
  </si>
  <si>
    <t>GATR</t>
  </si>
  <si>
    <t>"ГАЦУУРТ ТРЕЙД ҮЦК" ХХК</t>
  </si>
  <si>
    <t>MONG</t>
  </si>
  <si>
    <t>"МОНГОЛ СЕКЮРИТИЕС ҮЦК" ХК</t>
  </si>
  <si>
    <t>MSDQ</t>
  </si>
  <si>
    <t>"МАСДАК ҮНЭТ ЦААСНЫ КОМПАНИ" ХХК</t>
  </si>
  <si>
    <t>ECM</t>
  </si>
  <si>
    <t>"ЕВРАЗИА КАПИТАЛ ХОЛДИНГ ҮЦК" ХК</t>
  </si>
  <si>
    <t>CTRL</t>
  </si>
  <si>
    <t>"ЦЕНТРАЛ СЕКЬЮРИТИЙЗ ҮЦК" ХХК</t>
  </si>
  <si>
    <t xml:space="preserve">Жич: Үнэт цаасны арилжааны авсан, зарсан нийт үнийн дүнгээр жагсаав. </t>
  </si>
  <si>
    <t xml:space="preserve"> </t>
  </si>
  <si>
    <t>2 дугаар сарын арилжааны дүн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</si>
</sst>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£_-;\-* #,##0.00\ _£_-;_-* &quot;-&quot;??\ _£_-;_-@_-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Arial"/>
      <family val="2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 applyAlignment="1">
      <alignment horizontal="center" vertical="center" wrapText="1"/>
    </xf>
    <xf numFmtId="164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164" fontId="3" fillId="0" borderId="0" xfId="1" applyFont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164" fontId="5" fillId="0" borderId="0" xfId="1" applyFont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164" fontId="5" fillId="0" borderId="20" xfId="1" applyFont="1" applyBorder="1" applyAlignment="1">
      <alignment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vertical="top"/>
    </xf>
    <xf numFmtId="0" fontId="7" fillId="0" borderId="6" xfId="0" applyFont="1" applyBorder="1" applyAlignment="1">
      <alignment horizontal="center" vertical="center" wrapText="1"/>
    </xf>
    <xf numFmtId="164" fontId="7" fillId="3" borderId="6" xfId="1" applyFont="1" applyFill="1" applyBorder="1" applyAlignment="1">
      <alignment horizontal="center" vertical="center" wrapText="1"/>
    </xf>
    <xf numFmtId="164" fontId="7" fillId="3" borderId="16" xfId="1" applyFont="1" applyFill="1" applyBorder="1" applyAlignment="1">
      <alignment horizontal="center" vertical="center" wrapText="1"/>
    </xf>
    <xf numFmtId="10" fontId="3" fillId="5" borderId="6" xfId="2" applyNumberFormat="1" applyFont="1" applyFill="1" applyBorder="1" applyAlignment="1">
      <alignment horizontal="center" vertical="center" wrapText="1"/>
    </xf>
    <xf numFmtId="164" fontId="7" fillId="0" borderId="0" xfId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" fontId="8" fillId="0" borderId="6" xfId="0" applyNumberFormat="1" applyFont="1" applyBorder="1" applyAlignment="1">
      <alignment vertical="top"/>
    </xf>
    <xf numFmtId="0" fontId="3" fillId="2" borderId="0" xfId="0" applyFont="1" applyFill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top"/>
    </xf>
    <xf numFmtId="0" fontId="6" fillId="0" borderId="27" xfId="0" applyFont="1" applyBorder="1" applyAlignment="1">
      <alignment vertical="top"/>
    </xf>
    <xf numFmtId="0" fontId="7" fillId="0" borderId="28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164" fontId="9" fillId="3" borderId="6" xfId="1" applyFont="1" applyFill="1" applyBorder="1" applyAlignment="1">
      <alignment horizontal="center" vertical="center" wrapText="1"/>
    </xf>
    <xf numFmtId="9" fontId="9" fillId="3" borderId="6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43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horizontal="center" vertical="center"/>
    </xf>
    <xf numFmtId="164" fontId="3" fillId="0" borderId="0" xfId="1" applyFont="1" applyBorder="1" applyAlignment="1">
      <alignment horizontal="center" vertical="center" wrapText="1"/>
    </xf>
    <xf numFmtId="4" fontId="0" fillId="0" borderId="0" xfId="0" applyNumberFormat="1"/>
    <xf numFmtId="4" fontId="3" fillId="0" borderId="0" xfId="0" applyNumberFormat="1" applyFont="1" applyAlignment="1">
      <alignment horizontal="center" vertical="center" wrapText="1"/>
    </xf>
  </cellXfs>
  <cellStyles count="7">
    <cellStyle name="Comma 10" xfId="1" xr:uid="{675F91CC-EEA8-4945-8E90-B2660C4F4A79}"/>
    <cellStyle name="Comma 103" xfId="4" xr:uid="{C7C31ED6-6DCF-4831-B042-E6C2B9462CCF}"/>
    <cellStyle name="Normal" xfId="0" builtinId="0"/>
    <cellStyle name="Normal 2 18" xfId="5" xr:uid="{B6B58E4D-3914-449D-B039-2251EB584591}"/>
    <cellStyle name="Normal 84" xfId="3" xr:uid="{EB955B02-2D28-4350-8AD3-F13A3A32D2D6}"/>
    <cellStyle name="Percent 2" xfId="2" xr:uid="{DD058E85-803A-4107-957A-7ABB14C4FE85}"/>
    <cellStyle name="Percent 3 3" xfId="6" xr:uid="{1C0B369B-2094-40C3-8904-EF593BBAF6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27215</xdr:colOff>
      <xdr:row>0</xdr:row>
      <xdr:rowOff>73478</xdr:rowOff>
    </xdr:from>
    <xdr:to>
      <xdr:col>13</xdr:col>
      <xdr:colOff>0</xdr:colOff>
      <xdr:row>6</xdr:row>
      <xdr:rowOff>54428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0A3E21E8-28CD-4B3E-A265-F953611E958A}"/>
            </a:ext>
          </a:extLst>
        </xdr:cNvPr>
        <xdr:cNvGrpSpPr>
          <a:grpSpLocks/>
        </xdr:cNvGrpSpPr>
      </xdr:nvGrpSpPr>
      <xdr:grpSpPr bwMode="auto">
        <a:xfrm>
          <a:off x="27215" y="73478"/>
          <a:ext cx="21861235" cy="1152525"/>
          <a:chOff x="-459" y="-536"/>
          <a:chExt cx="12780" cy="2246"/>
        </a:xfrm>
      </xdr:grpSpPr>
      <xdr:sp macro="" textlink="">
        <xdr:nvSpPr>
          <xdr:cNvPr id="3" name="Rectangle 7">
            <a:extLst>
              <a:ext uri="{FF2B5EF4-FFF2-40B4-BE49-F238E27FC236}">
                <a16:creationId xmlns:a16="http://schemas.microsoft.com/office/drawing/2014/main" id="{C56E6B37-3C94-09B3-15B1-C40752A5DFD6}"/>
              </a:ext>
            </a:extLst>
          </xdr:cNvPr>
          <xdr:cNvSpPr>
            <a:spLocks noChangeArrowheads="1"/>
          </xdr:cNvSpPr>
        </xdr:nvSpPr>
        <xdr:spPr bwMode="auto">
          <a:xfrm>
            <a:off x="-459" y="-536"/>
            <a:ext cx="12780" cy="1440"/>
          </a:xfrm>
          <a:prstGeom prst="rect">
            <a:avLst/>
          </a:prstGeom>
          <a:solidFill>
            <a:srgbClr val="004284"/>
          </a:solidFill>
          <a:ln>
            <a:noFill/>
          </a:ln>
          <a:effectLst>
            <a:outerShdw dist="25400" dir="5400000" algn="ctr" rotWithShape="0">
              <a:srgbClr val="808080">
                <a:alpha val="35001"/>
              </a:srgbClr>
            </a:outerShdw>
          </a:effectLst>
          <a:extLst>
            <a:ext uri="{91240B29-F687-4F45-9708-019B960494DF}">
              <a14:hiddenLine xmlns:a14="http://schemas.microsoft.com/office/drawing/2010/main" w="190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Freeform 8">
            <a:extLst>
              <a:ext uri="{FF2B5EF4-FFF2-40B4-BE49-F238E27FC236}">
                <a16:creationId xmlns:a16="http://schemas.microsoft.com/office/drawing/2014/main" id="{C1768AF7-39D9-26E1-C882-CA823380C9CE}"/>
              </a:ext>
            </a:extLst>
          </xdr:cNvPr>
          <xdr:cNvSpPr>
            <a:spLocks/>
          </xdr:cNvSpPr>
        </xdr:nvSpPr>
        <xdr:spPr bwMode="auto">
          <a:xfrm>
            <a:off x="1418" y="311"/>
            <a:ext cx="7916" cy="1399"/>
          </a:xfrm>
          <a:custGeom>
            <a:avLst/>
            <a:gdLst>
              <a:gd name="T0" fmla="*/ 7916 w 7916"/>
              <a:gd name="T1" fmla="*/ 694 h 1399"/>
              <a:gd name="T2" fmla="*/ 7916 w 7916"/>
              <a:gd name="T3" fmla="*/ 278 h 1399"/>
              <a:gd name="T4" fmla="*/ 0 w 7916"/>
              <a:gd name="T5" fmla="*/ 0 h 1399"/>
              <a:gd name="T6" fmla="*/ 0 w 7916"/>
              <a:gd name="T7" fmla="*/ 1399 h 1399"/>
              <a:gd name="T8" fmla="*/ 7916 w 7916"/>
              <a:gd name="T9" fmla="*/ 694 h 1399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7916" h="1399">
                <a:moveTo>
                  <a:pt x="7916" y="694"/>
                </a:moveTo>
                <a:lnTo>
                  <a:pt x="7916" y="278"/>
                </a:lnTo>
                <a:lnTo>
                  <a:pt x="0" y="0"/>
                </a:lnTo>
                <a:lnTo>
                  <a:pt x="0" y="1399"/>
                </a:lnTo>
                <a:lnTo>
                  <a:pt x="7916" y="694"/>
                </a:lnTo>
                <a:close/>
              </a:path>
            </a:pathLst>
          </a:custGeom>
          <a:solidFill>
            <a:srgbClr val="7AA2C4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" name="Freeform 9">
            <a:extLst>
              <a:ext uri="{FF2B5EF4-FFF2-40B4-BE49-F238E27FC236}">
                <a16:creationId xmlns:a16="http://schemas.microsoft.com/office/drawing/2014/main" id="{38ADE451-247E-7A5D-6A2C-D2AC5EE9D674}"/>
              </a:ext>
            </a:extLst>
          </xdr:cNvPr>
          <xdr:cNvSpPr>
            <a:spLocks/>
          </xdr:cNvSpPr>
        </xdr:nvSpPr>
        <xdr:spPr bwMode="auto">
          <a:xfrm>
            <a:off x="9327" y="480"/>
            <a:ext cx="2597" cy="804"/>
          </a:xfrm>
          <a:custGeom>
            <a:avLst/>
            <a:gdLst>
              <a:gd name="T0" fmla="*/ 0 w 2597"/>
              <a:gd name="T1" fmla="*/ 526 h 804"/>
              <a:gd name="T2" fmla="*/ 0 w 2597"/>
              <a:gd name="T3" fmla="*/ 110 h 804"/>
              <a:gd name="T4" fmla="*/ 2597 w 2597"/>
              <a:gd name="T5" fmla="*/ 0 h 804"/>
              <a:gd name="T6" fmla="*/ 2573 w 2597"/>
              <a:gd name="T7" fmla="*/ 804 h 804"/>
              <a:gd name="T8" fmla="*/ 0 w 2597"/>
              <a:gd name="T9" fmla="*/ 526 h 80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597" h="804">
                <a:moveTo>
                  <a:pt x="0" y="526"/>
                </a:moveTo>
                <a:lnTo>
                  <a:pt x="0" y="110"/>
                </a:lnTo>
                <a:lnTo>
                  <a:pt x="2597" y="0"/>
                </a:lnTo>
                <a:lnTo>
                  <a:pt x="2573" y="804"/>
                </a:lnTo>
                <a:lnTo>
                  <a:pt x="0" y="526"/>
                </a:lnTo>
                <a:close/>
              </a:path>
            </a:pathLst>
          </a:custGeom>
          <a:solidFill>
            <a:srgbClr val="487DAE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" name="Freeform 10">
            <a:extLst>
              <a:ext uri="{FF2B5EF4-FFF2-40B4-BE49-F238E27FC236}">
                <a16:creationId xmlns:a16="http://schemas.microsoft.com/office/drawing/2014/main" id="{E89BA6B7-8614-930D-815E-84C3F48A85BD}"/>
              </a:ext>
            </a:extLst>
          </xdr:cNvPr>
          <xdr:cNvSpPr>
            <a:spLocks/>
          </xdr:cNvSpPr>
        </xdr:nvSpPr>
        <xdr:spPr bwMode="auto">
          <a:xfrm>
            <a:off x="-279" y="318"/>
            <a:ext cx="1706" cy="1392"/>
          </a:xfrm>
          <a:custGeom>
            <a:avLst/>
            <a:gdLst>
              <a:gd name="T0" fmla="*/ 254 w 1706"/>
              <a:gd name="T1" fmla="*/ 1181 h 1392"/>
              <a:gd name="T2" fmla="*/ 0 w 1706"/>
              <a:gd name="T3" fmla="*/ 218 h 1392"/>
              <a:gd name="T4" fmla="*/ 1706 w 1706"/>
              <a:gd name="T5" fmla="*/ 0 h 1392"/>
              <a:gd name="T6" fmla="*/ 1702 w 1706"/>
              <a:gd name="T7" fmla="*/ 1392 h 1392"/>
              <a:gd name="T8" fmla="*/ 254 w 1706"/>
              <a:gd name="T9" fmla="*/ 1181 h 1392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706" h="1392">
                <a:moveTo>
                  <a:pt x="254" y="1181"/>
                </a:moveTo>
                <a:lnTo>
                  <a:pt x="0" y="218"/>
                </a:lnTo>
                <a:lnTo>
                  <a:pt x="1706" y="0"/>
                </a:lnTo>
                <a:lnTo>
                  <a:pt x="1702" y="1392"/>
                </a:lnTo>
                <a:lnTo>
                  <a:pt x="254" y="1181"/>
                </a:lnTo>
                <a:close/>
              </a:path>
            </a:pathLst>
          </a:custGeom>
          <a:solidFill>
            <a:srgbClr val="487DAE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0</xdr:col>
      <xdr:colOff>173182</xdr:colOff>
      <xdr:row>3</xdr:row>
      <xdr:rowOff>174914</xdr:rowOff>
    </xdr:from>
    <xdr:ext cx="781050" cy="907596"/>
    <xdr:pic>
      <xdr:nvPicPr>
        <xdr:cNvPr id="7" name="Picture 6" descr="MSE_LOGO blue-1">
          <a:extLst>
            <a:ext uri="{FF2B5EF4-FFF2-40B4-BE49-F238E27FC236}">
              <a16:creationId xmlns:a16="http://schemas.microsoft.com/office/drawing/2014/main" id="{83A3541C-4FBA-4331-847C-C60EB5E85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82" y="774989"/>
          <a:ext cx="781050" cy="9075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3E09-53BE-427D-9689-11BC4A59ED9E}">
  <sheetPr>
    <pageSetUpPr fitToPage="1"/>
  </sheetPr>
  <dimension ref="A6:N123"/>
  <sheetViews>
    <sheetView tabSelected="1" zoomScale="55" zoomScaleNormal="55" workbookViewId="0">
      <selection activeCell="J43" sqref="J43"/>
    </sheetView>
  </sheetViews>
  <sheetFormatPr defaultRowHeight="15.75" x14ac:dyDescent="0.2"/>
  <cols>
    <col min="1" max="1" width="4.28515625" style="1" customWidth="1"/>
    <col min="2" max="2" width="9.85546875" style="1" customWidth="1"/>
    <col min="3" max="3" width="58.7109375" style="1" customWidth="1"/>
    <col min="4" max="4" width="11" style="1" customWidth="1"/>
    <col min="5" max="6" width="15.5703125" style="1" customWidth="1"/>
    <col min="7" max="7" width="39.5703125" style="1" customWidth="1"/>
    <col min="8" max="8" width="30.28515625" style="1" customWidth="1"/>
    <col min="9" max="9" width="29.28515625" style="2" customWidth="1"/>
    <col min="10" max="10" width="32.5703125" style="3" customWidth="1"/>
    <col min="11" max="11" width="33.42578125" style="1" customWidth="1"/>
    <col min="12" max="12" width="32.28515625" style="1" customWidth="1"/>
    <col min="13" max="13" width="15.85546875" style="1" customWidth="1"/>
    <col min="14" max="14" width="22.7109375" style="1" bestFit="1" customWidth="1"/>
    <col min="15" max="252" width="9.140625" style="1"/>
    <col min="253" max="253" width="4.28515625" style="1" customWidth="1"/>
    <col min="254" max="254" width="9.85546875" style="1" customWidth="1"/>
    <col min="255" max="255" width="55.42578125" style="1" bestFit="1" customWidth="1"/>
    <col min="256" max="256" width="12.85546875" style="1" customWidth="1"/>
    <col min="257" max="257" width="14.85546875" style="1" customWidth="1"/>
    <col min="258" max="258" width="14.28515625" style="1" customWidth="1"/>
    <col min="259" max="259" width="20.7109375" style="1" customWidth="1"/>
    <col min="260" max="260" width="21" style="1" customWidth="1"/>
    <col min="261" max="262" width="21.28515625" style="1" customWidth="1"/>
    <col min="263" max="264" width="22.42578125" style="1" bestFit="1" customWidth="1"/>
    <col min="265" max="265" width="22.28515625" style="1" bestFit="1" customWidth="1"/>
    <col min="266" max="266" width="16.7109375" style="1" customWidth="1"/>
    <col min="267" max="267" width="21.42578125" style="1" bestFit="1" customWidth="1"/>
    <col min="268" max="268" width="22.28515625" style="1" bestFit="1" customWidth="1"/>
    <col min="269" max="508" width="9.140625" style="1"/>
    <col min="509" max="509" width="4.28515625" style="1" customWidth="1"/>
    <col min="510" max="510" width="9.85546875" style="1" customWidth="1"/>
    <col min="511" max="511" width="55.42578125" style="1" bestFit="1" customWidth="1"/>
    <col min="512" max="512" width="12.85546875" style="1" customWidth="1"/>
    <col min="513" max="513" width="14.85546875" style="1" customWidth="1"/>
    <col min="514" max="514" width="14.28515625" style="1" customWidth="1"/>
    <col min="515" max="515" width="20.7109375" style="1" customWidth="1"/>
    <col min="516" max="516" width="21" style="1" customWidth="1"/>
    <col min="517" max="518" width="21.28515625" style="1" customWidth="1"/>
    <col min="519" max="520" width="22.42578125" style="1" bestFit="1" customWidth="1"/>
    <col min="521" max="521" width="22.28515625" style="1" bestFit="1" customWidth="1"/>
    <col min="522" max="522" width="16.7109375" style="1" customWidth="1"/>
    <col min="523" max="523" width="21.42578125" style="1" bestFit="1" customWidth="1"/>
    <col min="524" max="524" width="22.28515625" style="1" bestFit="1" customWidth="1"/>
    <col min="525" max="764" width="9.140625" style="1"/>
    <col min="765" max="765" width="4.28515625" style="1" customWidth="1"/>
    <col min="766" max="766" width="9.85546875" style="1" customWidth="1"/>
    <col min="767" max="767" width="55.42578125" style="1" bestFit="1" customWidth="1"/>
    <col min="768" max="768" width="12.85546875" style="1" customWidth="1"/>
    <col min="769" max="769" width="14.85546875" style="1" customWidth="1"/>
    <col min="770" max="770" width="14.28515625" style="1" customWidth="1"/>
    <col min="771" max="771" width="20.7109375" style="1" customWidth="1"/>
    <col min="772" max="772" width="21" style="1" customWidth="1"/>
    <col min="773" max="774" width="21.28515625" style="1" customWidth="1"/>
    <col min="775" max="776" width="22.42578125" style="1" bestFit="1" customWidth="1"/>
    <col min="777" max="777" width="22.28515625" style="1" bestFit="1" customWidth="1"/>
    <col min="778" max="778" width="16.7109375" style="1" customWidth="1"/>
    <col min="779" max="779" width="21.42578125" style="1" bestFit="1" customWidth="1"/>
    <col min="780" max="780" width="22.28515625" style="1" bestFit="1" customWidth="1"/>
    <col min="781" max="1020" width="9.140625" style="1"/>
    <col min="1021" max="1021" width="4.28515625" style="1" customWidth="1"/>
    <col min="1022" max="1022" width="9.85546875" style="1" customWidth="1"/>
    <col min="1023" max="1023" width="55.42578125" style="1" bestFit="1" customWidth="1"/>
    <col min="1024" max="1024" width="12.85546875" style="1" customWidth="1"/>
    <col min="1025" max="1025" width="14.85546875" style="1" customWidth="1"/>
    <col min="1026" max="1026" width="14.28515625" style="1" customWidth="1"/>
    <col min="1027" max="1027" width="20.7109375" style="1" customWidth="1"/>
    <col min="1028" max="1028" width="21" style="1" customWidth="1"/>
    <col min="1029" max="1030" width="21.28515625" style="1" customWidth="1"/>
    <col min="1031" max="1032" width="22.42578125" style="1" bestFit="1" customWidth="1"/>
    <col min="1033" max="1033" width="22.28515625" style="1" bestFit="1" customWidth="1"/>
    <col min="1034" max="1034" width="16.7109375" style="1" customWidth="1"/>
    <col min="1035" max="1035" width="21.42578125" style="1" bestFit="1" customWidth="1"/>
    <col min="1036" max="1036" width="22.28515625" style="1" bestFit="1" customWidth="1"/>
    <col min="1037" max="1276" width="9.140625" style="1"/>
    <col min="1277" max="1277" width="4.28515625" style="1" customWidth="1"/>
    <col min="1278" max="1278" width="9.85546875" style="1" customWidth="1"/>
    <col min="1279" max="1279" width="55.42578125" style="1" bestFit="1" customWidth="1"/>
    <col min="1280" max="1280" width="12.85546875" style="1" customWidth="1"/>
    <col min="1281" max="1281" width="14.85546875" style="1" customWidth="1"/>
    <col min="1282" max="1282" width="14.28515625" style="1" customWidth="1"/>
    <col min="1283" max="1283" width="20.7109375" style="1" customWidth="1"/>
    <col min="1284" max="1284" width="21" style="1" customWidth="1"/>
    <col min="1285" max="1286" width="21.28515625" style="1" customWidth="1"/>
    <col min="1287" max="1288" width="22.42578125" style="1" bestFit="1" customWidth="1"/>
    <col min="1289" max="1289" width="22.28515625" style="1" bestFit="1" customWidth="1"/>
    <col min="1290" max="1290" width="16.7109375" style="1" customWidth="1"/>
    <col min="1291" max="1291" width="21.42578125" style="1" bestFit="1" customWidth="1"/>
    <col min="1292" max="1292" width="22.28515625" style="1" bestFit="1" customWidth="1"/>
    <col min="1293" max="1532" width="9.140625" style="1"/>
    <col min="1533" max="1533" width="4.28515625" style="1" customWidth="1"/>
    <col min="1534" max="1534" width="9.85546875" style="1" customWidth="1"/>
    <col min="1535" max="1535" width="55.42578125" style="1" bestFit="1" customWidth="1"/>
    <col min="1536" max="1536" width="12.85546875" style="1" customWidth="1"/>
    <col min="1537" max="1537" width="14.85546875" style="1" customWidth="1"/>
    <col min="1538" max="1538" width="14.28515625" style="1" customWidth="1"/>
    <col min="1539" max="1539" width="20.7109375" style="1" customWidth="1"/>
    <col min="1540" max="1540" width="21" style="1" customWidth="1"/>
    <col min="1541" max="1542" width="21.28515625" style="1" customWidth="1"/>
    <col min="1543" max="1544" width="22.42578125" style="1" bestFit="1" customWidth="1"/>
    <col min="1545" max="1545" width="22.28515625" style="1" bestFit="1" customWidth="1"/>
    <col min="1546" max="1546" width="16.7109375" style="1" customWidth="1"/>
    <col min="1547" max="1547" width="21.42578125" style="1" bestFit="1" customWidth="1"/>
    <col min="1548" max="1548" width="22.28515625" style="1" bestFit="1" customWidth="1"/>
    <col min="1549" max="1788" width="9.140625" style="1"/>
    <col min="1789" max="1789" width="4.28515625" style="1" customWidth="1"/>
    <col min="1790" max="1790" width="9.85546875" style="1" customWidth="1"/>
    <col min="1791" max="1791" width="55.42578125" style="1" bestFit="1" customWidth="1"/>
    <col min="1792" max="1792" width="12.85546875" style="1" customWidth="1"/>
    <col min="1793" max="1793" width="14.85546875" style="1" customWidth="1"/>
    <col min="1794" max="1794" width="14.28515625" style="1" customWidth="1"/>
    <col min="1795" max="1795" width="20.7109375" style="1" customWidth="1"/>
    <col min="1796" max="1796" width="21" style="1" customWidth="1"/>
    <col min="1797" max="1798" width="21.28515625" style="1" customWidth="1"/>
    <col min="1799" max="1800" width="22.42578125" style="1" bestFit="1" customWidth="1"/>
    <col min="1801" max="1801" width="22.28515625" style="1" bestFit="1" customWidth="1"/>
    <col min="1802" max="1802" width="16.7109375" style="1" customWidth="1"/>
    <col min="1803" max="1803" width="21.42578125" style="1" bestFit="1" customWidth="1"/>
    <col min="1804" max="1804" width="22.28515625" style="1" bestFit="1" customWidth="1"/>
    <col min="1805" max="2044" width="9.140625" style="1"/>
    <col min="2045" max="2045" width="4.28515625" style="1" customWidth="1"/>
    <col min="2046" max="2046" width="9.85546875" style="1" customWidth="1"/>
    <col min="2047" max="2047" width="55.42578125" style="1" bestFit="1" customWidth="1"/>
    <col min="2048" max="2048" width="12.85546875" style="1" customWidth="1"/>
    <col min="2049" max="2049" width="14.85546875" style="1" customWidth="1"/>
    <col min="2050" max="2050" width="14.28515625" style="1" customWidth="1"/>
    <col min="2051" max="2051" width="20.7109375" style="1" customWidth="1"/>
    <col min="2052" max="2052" width="21" style="1" customWidth="1"/>
    <col min="2053" max="2054" width="21.28515625" style="1" customWidth="1"/>
    <col min="2055" max="2056" width="22.42578125" style="1" bestFit="1" customWidth="1"/>
    <col min="2057" max="2057" width="22.28515625" style="1" bestFit="1" customWidth="1"/>
    <col min="2058" max="2058" width="16.7109375" style="1" customWidth="1"/>
    <col min="2059" max="2059" width="21.42578125" style="1" bestFit="1" customWidth="1"/>
    <col min="2060" max="2060" width="22.28515625" style="1" bestFit="1" customWidth="1"/>
    <col min="2061" max="2300" width="9.140625" style="1"/>
    <col min="2301" max="2301" width="4.28515625" style="1" customWidth="1"/>
    <col min="2302" max="2302" width="9.85546875" style="1" customWidth="1"/>
    <col min="2303" max="2303" width="55.42578125" style="1" bestFit="1" customWidth="1"/>
    <col min="2304" max="2304" width="12.85546875" style="1" customWidth="1"/>
    <col min="2305" max="2305" width="14.85546875" style="1" customWidth="1"/>
    <col min="2306" max="2306" width="14.28515625" style="1" customWidth="1"/>
    <col min="2307" max="2307" width="20.7109375" style="1" customWidth="1"/>
    <col min="2308" max="2308" width="21" style="1" customWidth="1"/>
    <col min="2309" max="2310" width="21.28515625" style="1" customWidth="1"/>
    <col min="2311" max="2312" width="22.42578125" style="1" bestFit="1" customWidth="1"/>
    <col min="2313" max="2313" width="22.28515625" style="1" bestFit="1" customWidth="1"/>
    <col min="2314" max="2314" width="16.7109375" style="1" customWidth="1"/>
    <col min="2315" max="2315" width="21.42578125" style="1" bestFit="1" customWidth="1"/>
    <col min="2316" max="2316" width="22.28515625" style="1" bestFit="1" customWidth="1"/>
    <col min="2317" max="2556" width="9.140625" style="1"/>
    <col min="2557" max="2557" width="4.28515625" style="1" customWidth="1"/>
    <col min="2558" max="2558" width="9.85546875" style="1" customWidth="1"/>
    <col min="2559" max="2559" width="55.42578125" style="1" bestFit="1" customWidth="1"/>
    <col min="2560" max="2560" width="12.85546875" style="1" customWidth="1"/>
    <col min="2561" max="2561" width="14.85546875" style="1" customWidth="1"/>
    <col min="2562" max="2562" width="14.28515625" style="1" customWidth="1"/>
    <col min="2563" max="2563" width="20.7109375" style="1" customWidth="1"/>
    <col min="2564" max="2564" width="21" style="1" customWidth="1"/>
    <col min="2565" max="2566" width="21.28515625" style="1" customWidth="1"/>
    <col min="2567" max="2568" width="22.42578125" style="1" bestFit="1" customWidth="1"/>
    <col min="2569" max="2569" width="22.28515625" style="1" bestFit="1" customWidth="1"/>
    <col min="2570" max="2570" width="16.7109375" style="1" customWidth="1"/>
    <col min="2571" max="2571" width="21.42578125" style="1" bestFit="1" customWidth="1"/>
    <col min="2572" max="2572" width="22.28515625" style="1" bestFit="1" customWidth="1"/>
    <col min="2573" max="2812" width="9.140625" style="1"/>
    <col min="2813" max="2813" width="4.28515625" style="1" customWidth="1"/>
    <col min="2814" max="2814" width="9.85546875" style="1" customWidth="1"/>
    <col min="2815" max="2815" width="55.42578125" style="1" bestFit="1" customWidth="1"/>
    <col min="2816" max="2816" width="12.85546875" style="1" customWidth="1"/>
    <col min="2817" max="2817" width="14.85546875" style="1" customWidth="1"/>
    <col min="2818" max="2818" width="14.28515625" style="1" customWidth="1"/>
    <col min="2819" max="2819" width="20.7109375" style="1" customWidth="1"/>
    <col min="2820" max="2820" width="21" style="1" customWidth="1"/>
    <col min="2821" max="2822" width="21.28515625" style="1" customWidth="1"/>
    <col min="2823" max="2824" width="22.42578125" style="1" bestFit="1" customWidth="1"/>
    <col min="2825" max="2825" width="22.28515625" style="1" bestFit="1" customWidth="1"/>
    <col min="2826" max="2826" width="16.7109375" style="1" customWidth="1"/>
    <col min="2827" max="2827" width="21.42578125" style="1" bestFit="1" customWidth="1"/>
    <col min="2828" max="2828" width="22.28515625" style="1" bestFit="1" customWidth="1"/>
    <col min="2829" max="3068" width="9.140625" style="1"/>
    <col min="3069" max="3069" width="4.28515625" style="1" customWidth="1"/>
    <col min="3070" max="3070" width="9.85546875" style="1" customWidth="1"/>
    <col min="3071" max="3071" width="55.42578125" style="1" bestFit="1" customWidth="1"/>
    <col min="3072" max="3072" width="12.85546875" style="1" customWidth="1"/>
    <col min="3073" max="3073" width="14.85546875" style="1" customWidth="1"/>
    <col min="3074" max="3074" width="14.28515625" style="1" customWidth="1"/>
    <col min="3075" max="3075" width="20.7109375" style="1" customWidth="1"/>
    <col min="3076" max="3076" width="21" style="1" customWidth="1"/>
    <col min="3077" max="3078" width="21.28515625" style="1" customWidth="1"/>
    <col min="3079" max="3080" width="22.42578125" style="1" bestFit="1" customWidth="1"/>
    <col min="3081" max="3081" width="22.28515625" style="1" bestFit="1" customWidth="1"/>
    <col min="3082" max="3082" width="16.7109375" style="1" customWidth="1"/>
    <col min="3083" max="3083" width="21.42578125" style="1" bestFit="1" customWidth="1"/>
    <col min="3084" max="3084" width="22.28515625" style="1" bestFit="1" customWidth="1"/>
    <col min="3085" max="3324" width="9.140625" style="1"/>
    <col min="3325" max="3325" width="4.28515625" style="1" customWidth="1"/>
    <col min="3326" max="3326" width="9.85546875" style="1" customWidth="1"/>
    <col min="3327" max="3327" width="55.42578125" style="1" bestFit="1" customWidth="1"/>
    <col min="3328" max="3328" width="12.85546875" style="1" customWidth="1"/>
    <col min="3329" max="3329" width="14.85546875" style="1" customWidth="1"/>
    <col min="3330" max="3330" width="14.28515625" style="1" customWidth="1"/>
    <col min="3331" max="3331" width="20.7109375" style="1" customWidth="1"/>
    <col min="3332" max="3332" width="21" style="1" customWidth="1"/>
    <col min="3333" max="3334" width="21.28515625" style="1" customWidth="1"/>
    <col min="3335" max="3336" width="22.42578125" style="1" bestFit="1" customWidth="1"/>
    <col min="3337" max="3337" width="22.28515625" style="1" bestFit="1" customWidth="1"/>
    <col min="3338" max="3338" width="16.7109375" style="1" customWidth="1"/>
    <col min="3339" max="3339" width="21.42578125" style="1" bestFit="1" customWidth="1"/>
    <col min="3340" max="3340" width="22.28515625" style="1" bestFit="1" customWidth="1"/>
    <col min="3341" max="3580" width="9.140625" style="1"/>
    <col min="3581" max="3581" width="4.28515625" style="1" customWidth="1"/>
    <col min="3582" max="3582" width="9.85546875" style="1" customWidth="1"/>
    <col min="3583" max="3583" width="55.42578125" style="1" bestFit="1" customWidth="1"/>
    <col min="3584" max="3584" width="12.85546875" style="1" customWidth="1"/>
    <col min="3585" max="3585" width="14.85546875" style="1" customWidth="1"/>
    <col min="3586" max="3586" width="14.28515625" style="1" customWidth="1"/>
    <col min="3587" max="3587" width="20.7109375" style="1" customWidth="1"/>
    <col min="3588" max="3588" width="21" style="1" customWidth="1"/>
    <col min="3589" max="3590" width="21.28515625" style="1" customWidth="1"/>
    <col min="3591" max="3592" width="22.42578125" style="1" bestFit="1" customWidth="1"/>
    <col min="3593" max="3593" width="22.28515625" style="1" bestFit="1" customWidth="1"/>
    <col min="3594" max="3594" width="16.7109375" style="1" customWidth="1"/>
    <col min="3595" max="3595" width="21.42578125" style="1" bestFit="1" customWidth="1"/>
    <col min="3596" max="3596" width="22.28515625" style="1" bestFit="1" customWidth="1"/>
    <col min="3597" max="3836" width="9.140625" style="1"/>
    <col min="3837" max="3837" width="4.28515625" style="1" customWidth="1"/>
    <col min="3838" max="3838" width="9.85546875" style="1" customWidth="1"/>
    <col min="3839" max="3839" width="55.42578125" style="1" bestFit="1" customWidth="1"/>
    <col min="3840" max="3840" width="12.85546875" style="1" customWidth="1"/>
    <col min="3841" max="3841" width="14.85546875" style="1" customWidth="1"/>
    <col min="3842" max="3842" width="14.28515625" style="1" customWidth="1"/>
    <col min="3843" max="3843" width="20.7109375" style="1" customWidth="1"/>
    <col min="3844" max="3844" width="21" style="1" customWidth="1"/>
    <col min="3845" max="3846" width="21.28515625" style="1" customWidth="1"/>
    <col min="3847" max="3848" width="22.42578125" style="1" bestFit="1" customWidth="1"/>
    <col min="3849" max="3849" width="22.28515625" style="1" bestFit="1" customWidth="1"/>
    <col min="3850" max="3850" width="16.7109375" style="1" customWidth="1"/>
    <col min="3851" max="3851" width="21.42578125" style="1" bestFit="1" customWidth="1"/>
    <col min="3852" max="3852" width="22.28515625" style="1" bestFit="1" customWidth="1"/>
    <col min="3853" max="4092" width="9.140625" style="1"/>
    <col min="4093" max="4093" width="4.28515625" style="1" customWidth="1"/>
    <col min="4094" max="4094" width="9.85546875" style="1" customWidth="1"/>
    <col min="4095" max="4095" width="55.42578125" style="1" bestFit="1" customWidth="1"/>
    <col min="4096" max="4096" width="12.85546875" style="1" customWidth="1"/>
    <col min="4097" max="4097" width="14.85546875" style="1" customWidth="1"/>
    <col min="4098" max="4098" width="14.28515625" style="1" customWidth="1"/>
    <col min="4099" max="4099" width="20.7109375" style="1" customWidth="1"/>
    <col min="4100" max="4100" width="21" style="1" customWidth="1"/>
    <col min="4101" max="4102" width="21.28515625" style="1" customWidth="1"/>
    <col min="4103" max="4104" width="22.42578125" style="1" bestFit="1" customWidth="1"/>
    <col min="4105" max="4105" width="22.28515625" style="1" bestFit="1" customWidth="1"/>
    <col min="4106" max="4106" width="16.7109375" style="1" customWidth="1"/>
    <col min="4107" max="4107" width="21.42578125" style="1" bestFit="1" customWidth="1"/>
    <col min="4108" max="4108" width="22.28515625" style="1" bestFit="1" customWidth="1"/>
    <col min="4109" max="4348" width="9.140625" style="1"/>
    <col min="4349" max="4349" width="4.28515625" style="1" customWidth="1"/>
    <col min="4350" max="4350" width="9.85546875" style="1" customWidth="1"/>
    <col min="4351" max="4351" width="55.42578125" style="1" bestFit="1" customWidth="1"/>
    <col min="4352" max="4352" width="12.85546875" style="1" customWidth="1"/>
    <col min="4353" max="4353" width="14.85546875" style="1" customWidth="1"/>
    <col min="4354" max="4354" width="14.28515625" style="1" customWidth="1"/>
    <col min="4355" max="4355" width="20.7109375" style="1" customWidth="1"/>
    <col min="4356" max="4356" width="21" style="1" customWidth="1"/>
    <col min="4357" max="4358" width="21.28515625" style="1" customWidth="1"/>
    <col min="4359" max="4360" width="22.42578125" style="1" bestFit="1" customWidth="1"/>
    <col min="4361" max="4361" width="22.28515625" style="1" bestFit="1" customWidth="1"/>
    <col min="4362" max="4362" width="16.7109375" style="1" customWidth="1"/>
    <col min="4363" max="4363" width="21.42578125" style="1" bestFit="1" customWidth="1"/>
    <col min="4364" max="4364" width="22.28515625" style="1" bestFit="1" customWidth="1"/>
    <col min="4365" max="4604" width="9.140625" style="1"/>
    <col min="4605" max="4605" width="4.28515625" style="1" customWidth="1"/>
    <col min="4606" max="4606" width="9.85546875" style="1" customWidth="1"/>
    <col min="4607" max="4607" width="55.42578125" style="1" bestFit="1" customWidth="1"/>
    <col min="4608" max="4608" width="12.85546875" style="1" customWidth="1"/>
    <col min="4609" max="4609" width="14.85546875" style="1" customWidth="1"/>
    <col min="4610" max="4610" width="14.28515625" style="1" customWidth="1"/>
    <col min="4611" max="4611" width="20.7109375" style="1" customWidth="1"/>
    <col min="4612" max="4612" width="21" style="1" customWidth="1"/>
    <col min="4613" max="4614" width="21.28515625" style="1" customWidth="1"/>
    <col min="4615" max="4616" width="22.42578125" style="1" bestFit="1" customWidth="1"/>
    <col min="4617" max="4617" width="22.28515625" style="1" bestFit="1" customWidth="1"/>
    <col min="4618" max="4618" width="16.7109375" style="1" customWidth="1"/>
    <col min="4619" max="4619" width="21.42578125" style="1" bestFit="1" customWidth="1"/>
    <col min="4620" max="4620" width="22.28515625" style="1" bestFit="1" customWidth="1"/>
    <col min="4621" max="4860" width="9.140625" style="1"/>
    <col min="4861" max="4861" width="4.28515625" style="1" customWidth="1"/>
    <col min="4862" max="4862" width="9.85546875" style="1" customWidth="1"/>
    <col min="4863" max="4863" width="55.42578125" style="1" bestFit="1" customWidth="1"/>
    <col min="4864" max="4864" width="12.85546875" style="1" customWidth="1"/>
    <col min="4865" max="4865" width="14.85546875" style="1" customWidth="1"/>
    <col min="4866" max="4866" width="14.28515625" style="1" customWidth="1"/>
    <col min="4867" max="4867" width="20.7109375" style="1" customWidth="1"/>
    <col min="4868" max="4868" width="21" style="1" customWidth="1"/>
    <col min="4869" max="4870" width="21.28515625" style="1" customWidth="1"/>
    <col min="4871" max="4872" width="22.42578125" style="1" bestFit="1" customWidth="1"/>
    <col min="4873" max="4873" width="22.28515625" style="1" bestFit="1" customWidth="1"/>
    <col min="4874" max="4874" width="16.7109375" style="1" customWidth="1"/>
    <col min="4875" max="4875" width="21.42578125" style="1" bestFit="1" customWidth="1"/>
    <col min="4876" max="4876" width="22.28515625" style="1" bestFit="1" customWidth="1"/>
    <col min="4877" max="5116" width="9.140625" style="1"/>
    <col min="5117" max="5117" width="4.28515625" style="1" customWidth="1"/>
    <col min="5118" max="5118" width="9.85546875" style="1" customWidth="1"/>
    <col min="5119" max="5119" width="55.42578125" style="1" bestFit="1" customWidth="1"/>
    <col min="5120" max="5120" width="12.85546875" style="1" customWidth="1"/>
    <col min="5121" max="5121" width="14.85546875" style="1" customWidth="1"/>
    <col min="5122" max="5122" width="14.28515625" style="1" customWidth="1"/>
    <col min="5123" max="5123" width="20.7109375" style="1" customWidth="1"/>
    <col min="5124" max="5124" width="21" style="1" customWidth="1"/>
    <col min="5125" max="5126" width="21.28515625" style="1" customWidth="1"/>
    <col min="5127" max="5128" width="22.42578125" style="1" bestFit="1" customWidth="1"/>
    <col min="5129" max="5129" width="22.28515625" style="1" bestFit="1" customWidth="1"/>
    <col min="5130" max="5130" width="16.7109375" style="1" customWidth="1"/>
    <col min="5131" max="5131" width="21.42578125" style="1" bestFit="1" customWidth="1"/>
    <col min="5132" max="5132" width="22.28515625" style="1" bestFit="1" customWidth="1"/>
    <col min="5133" max="5372" width="9.140625" style="1"/>
    <col min="5373" max="5373" width="4.28515625" style="1" customWidth="1"/>
    <col min="5374" max="5374" width="9.85546875" style="1" customWidth="1"/>
    <col min="5375" max="5375" width="55.42578125" style="1" bestFit="1" customWidth="1"/>
    <col min="5376" max="5376" width="12.85546875" style="1" customWidth="1"/>
    <col min="5377" max="5377" width="14.85546875" style="1" customWidth="1"/>
    <col min="5378" max="5378" width="14.28515625" style="1" customWidth="1"/>
    <col min="5379" max="5379" width="20.7109375" style="1" customWidth="1"/>
    <col min="5380" max="5380" width="21" style="1" customWidth="1"/>
    <col min="5381" max="5382" width="21.28515625" style="1" customWidth="1"/>
    <col min="5383" max="5384" width="22.42578125" style="1" bestFit="1" customWidth="1"/>
    <col min="5385" max="5385" width="22.28515625" style="1" bestFit="1" customWidth="1"/>
    <col min="5386" max="5386" width="16.7109375" style="1" customWidth="1"/>
    <col min="5387" max="5387" width="21.42578125" style="1" bestFit="1" customWidth="1"/>
    <col min="5388" max="5388" width="22.28515625" style="1" bestFit="1" customWidth="1"/>
    <col min="5389" max="5628" width="9.140625" style="1"/>
    <col min="5629" max="5629" width="4.28515625" style="1" customWidth="1"/>
    <col min="5630" max="5630" width="9.85546875" style="1" customWidth="1"/>
    <col min="5631" max="5631" width="55.42578125" style="1" bestFit="1" customWidth="1"/>
    <col min="5632" max="5632" width="12.85546875" style="1" customWidth="1"/>
    <col min="5633" max="5633" width="14.85546875" style="1" customWidth="1"/>
    <col min="5634" max="5634" width="14.28515625" style="1" customWidth="1"/>
    <col min="5635" max="5635" width="20.7109375" style="1" customWidth="1"/>
    <col min="5636" max="5636" width="21" style="1" customWidth="1"/>
    <col min="5637" max="5638" width="21.28515625" style="1" customWidth="1"/>
    <col min="5639" max="5640" width="22.42578125" style="1" bestFit="1" customWidth="1"/>
    <col min="5641" max="5641" width="22.28515625" style="1" bestFit="1" customWidth="1"/>
    <col min="5642" max="5642" width="16.7109375" style="1" customWidth="1"/>
    <col min="5643" max="5643" width="21.42578125" style="1" bestFit="1" customWidth="1"/>
    <col min="5644" max="5644" width="22.28515625" style="1" bestFit="1" customWidth="1"/>
    <col min="5645" max="5884" width="9.140625" style="1"/>
    <col min="5885" max="5885" width="4.28515625" style="1" customWidth="1"/>
    <col min="5886" max="5886" width="9.85546875" style="1" customWidth="1"/>
    <col min="5887" max="5887" width="55.42578125" style="1" bestFit="1" customWidth="1"/>
    <col min="5888" max="5888" width="12.85546875" style="1" customWidth="1"/>
    <col min="5889" max="5889" width="14.85546875" style="1" customWidth="1"/>
    <col min="5890" max="5890" width="14.28515625" style="1" customWidth="1"/>
    <col min="5891" max="5891" width="20.7109375" style="1" customWidth="1"/>
    <col min="5892" max="5892" width="21" style="1" customWidth="1"/>
    <col min="5893" max="5894" width="21.28515625" style="1" customWidth="1"/>
    <col min="5895" max="5896" width="22.42578125" style="1" bestFit="1" customWidth="1"/>
    <col min="5897" max="5897" width="22.28515625" style="1" bestFit="1" customWidth="1"/>
    <col min="5898" max="5898" width="16.7109375" style="1" customWidth="1"/>
    <col min="5899" max="5899" width="21.42578125" style="1" bestFit="1" customWidth="1"/>
    <col min="5900" max="5900" width="22.28515625" style="1" bestFit="1" customWidth="1"/>
    <col min="5901" max="6140" width="9.140625" style="1"/>
    <col min="6141" max="6141" width="4.28515625" style="1" customWidth="1"/>
    <col min="6142" max="6142" width="9.85546875" style="1" customWidth="1"/>
    <col min="6143" max="6143" width="55.42578125" style="1" bestFit="1" customWidth="1"/>
    <col min="6144" max="6144" width="12.85546875" style="1" customWidth="1"/>
    <col min="6145" max="6145" width="14.85546875" style="1" customWidth="1"/>
    <col min="6146" max="6146" width="14.28515625" style="1" customWidth="1"/>
    <col min="6147" max="6147" width="20.7109375" style="1" customWidth="1"/>
    <col min="6148" max="6148" width="21" style="1" customWidth="1"/>
    <col min="6149" max="6150" width="21.28515625" style="1" customWidth="1"/>
    <col min="6151" max="6152" width="22.42578125" style="1" bestFit="1" customWidth="1"/>
    <col min="6153" max="6153" width="22.28515625" style="1" bestFit="1" customWidth="1"/>
    <col min="6154" max="6154" width="16.7109375" style="1" customWidth="1"/>
    <col min="6155" max="6155" width="21.42578125" style="1" bestFit="1" customWidth="1"/>
    <col min="6156" max="6156" width="22.28515625" style="1" bestFit="1" customWidth="1"/>
    <col min="6157" max="6396" width="9.140625" style="1"/>
    <col min="6397" max="6397" width="4.28515625" style="1" customWidth="1"/>
    <col min="6398" max="6398" width="9.85546875" style="1" customWidth="1"/>
    <col min="6399" max="6399" width="55.42578125" style="1" bestFit="1" customWidth="1"/>
    <col min="6400" max="6400" width="12.85546875" style="1" customWidth="1"/>
    <col min="6401" max="6401" width="14.85546875" style="1" customWidth="1"/>
    <col min="6402" max="6402" width="14.28515625" style="1" customWidth="1"/>
    <col min="6403" max="6403" width="20.7109375" style="1" customWidth="1"/>
    <col min="6404" max="6404" width="21" style="1" customWidth="1"/>
    <col min="6405" max="6406" width="21.28515625" style="1" customWidth="1"/>
    <col min="6407" max="6408" width="22.42578125" style="1" bestFit="1" customWidth="1"/>
    <col min="6409" max="6409" width="22.28515625" style="1" bestFit="1" customWidth="1"/>
    <col min="6410" max="6410" width="16.7109375" style="1" customWidth="1"/>
    <col min="6411" max="6411" width="21.42578125" style="1" bestFit="1" customWidth="1"/>
    <col min="6412" max="6412" width="22.28515625" style="1" bestFit="1" customWidth="1"/>
    <col min="6413" max="6652" width="9.140625" style="1"/>
    <col min="6653" max="6653" width="4.28515625" style="1" customWidth="1"/>
    <col min="6654" max="6654" width="9.85546875" style="1" customWidth="1"/>
    <col min="6655" max="6655" width="55.42578125" style="1" bestFit="1" customWidth="1"/>
    <col min="6656" max="6656" width="12.85546875" style="1" customWidth="1"/>
    <col min="6657" max="6657" width="14.85546875" style="1" customWidth="1"/>
    <col min="6658" max="6658" width="14.28515625" style="1" customWidth="1"/>
    <col min="6659" max="6659" width="20.7109375" style="1" customWidth="1"/>
    <col min="6660" max="6660" width="21" style="1" customWidth="1"/>
    <col min="6661" max="6662" width="21.28515625" style="1" customWidth="1"/>
    <col min="6663" max="6664" width="22.42578125" style="1" bestFit="1" customWidth="1"/>
    <col min="6665" max="6665" width="22.28515625" style="1" bestFit="1" customWidth="1"/>
    <col min="6666" max="6666" width="16.7109375" style="1" customWidth="1"/>
    <col min="6667" max="6667" width="21.42578125" style="1" bestFit="1" customWidth="1"/>
    <col min="6668" max="6668" width="22.28515625" style="1" bestFit="1" customWidth="1"/>
    <col min="6669" max="6908" width="9.140625" style="1"/>
    <col min="6909" max="6909" width="4.28515625" style="1" customWidth="1"/>
    <col min="6910" max="6910" width="9.85546875" style="1" customWidth="1"/>
    <col min="6911" max="6911" width="55.42578125" style="1" bestFit="1" customWidth="1"/>
    <col min="6912" max="6912" width="12.85546875" style="1" customWidth="1"/>
    <col min="6913" max="6913" width="14.85546875" style="1" customWidth="1"/>
    <col min="6914" max="6914" width="14.28515625" style="1" customWidth="1"/>
    <col min="6915" max="6915" width="20.7109375" style="1" customWidth="1"/>
    <col min="6916" max="6916" width="21" style="1" customWidth="1"/>
    <col min="6917" max="6918" width="21.28515625" style="1" customWidth="1"/>
    <col min="6919" max="6920" width="22.42578125" style="1" bestFit="1" customWidth="1"/>
    <col min="6921" max="6921" width="22.28515625" style="1" bestFit="1" customWidth="1"/>
    <col min="6922" max="6922" width="16.7109375" style="1" customWidth="1"/>
    <col min="6923" max="6923" width="21.42578125" style="1" bestFit="1" customWidth="1"/>
    <col min="6924" max="6924" width="22.28515625" style="1" bestFit="1" customWidth="1"/>
    <col min="6925" max="7164" width="9.140625" style="1"/>
    <col min="7165" max="7165" width="4.28515625" style="1" customWidth="1"/>
    <col min="7166" max="7166" width="9.85546875" style="1" customWidth="1"/>
    <col min="7167" max="7167" width="55.42578125" style="1" bestFit="1" customWidth="1"/>
    <col min="7168" max="7168" width="12.85546875" style="1" customWidth="1"/>
    <col min="7169" max="7169" width="14.85546875" style="1" customWidth="1"/>
    <col min="7170" max="7170" width="14.28515625" style="1" customWidth="1"/>
    <col min="7171" max="7171" width="20.7109375" style="1" customWidth="1"/>
    <col min="7172" max="7172" width="21" style="1" customWidth="1"/>
    <col min="7173" max="7174" width="21.28515625" style="1" customWidth="1"/>
    <col min="7175" max="7176" width="22.42578125" style="1" bestFit="1" customWidth="1"/>
    <col min="7177" max="7177" width="22.28515625" style="1" bestFit="1" customWidth="1"/>
    <col min="7178" max="7178" width="16.7109375" style="1" customWidth="1"/>
    <col min="7179" max="7179" width="21.42578125" style="1" bestFit="1" customWidth="1"/>
    <col min="7180" max="7180" width="22.28515625" style="1" bestFit="1" customWidth="1"/>
    <col min="7181" max="7420" width="9.140625" style="1"/>
    <col min="7421" max="7421" width="4.28515625" style="1" customWidth="1"/>
    <col min="7422" max="7422" width="9.85546875" style="1" customWidth="1"/>
    <col min="7423" max="7423" width="55.42578125" style="1" bestFit="1" customWidth="1"/>
    <col min="7424" max="7424" width="12.85546875" style="1" customWidth="1"/>
    <col min="7425" max="7425" width="14.85546875" style="1" customWidth="1"/>
    <col min="7426" max="7426" width="14.28515625" style="1" customWidth="1"/>
    <col min="7427" max="7427" width="20.7109375" style="1" customWidth="1"/>
    <col min="7428" max="7428" width="21" style="1" customWidth="1"/>
    <col min="7429" max="7430" width="21.28515625" style="1" customWidth="1"/>
    <col min="7431" max="7432" width="22.42578125" style="1" bestFit="1" customWidth="1"/>
    <col min="7433" max="7433" width="22.28515625" style="1" bestFit="1" customWidth="1"/>
    <col min="7434" max="7434" width="16.7109375" style="1" customWidth="1"/>
    <col min="7435" max="7435" width="21.42578125" style="1" bestFit="1" customWidth="1"/>
    <col min="7436" max="7436" width="22.28515625" style="1" bestFit="1" customWidth="1"/>
    <col min="7437" max="7676" width="9.140625" style="1"/>
    <col min="7677" max="7677" width="4.28515625" style="1" customWidth="1"/>
    <col min="7678" max="7678" width="9.85546875" style="1" customWidth="1"/>
    <col min="7679" max="7679" width="55.42578125" style="1" bestFit="1" customWidth="1"/>
    <col min="7680" max="7680" width="12.85546875" style="1" customWidth="1"/>
    <col min="7681" max="7681" width="14.85546875" style="1" customWidth="1"/>
    <col min="7682" max="7682" width="14.28515625" style="1" customWidth="1"/>
    <col min="7683" max="7683" width="20.7109375" style="1" customWidth="1"/>
    <col min="7684" max="7684" width="21" style="1" customWidth="1"/>
    <col min="7685" max="7686" width="21.28515625" style="1" customWidth="1"/>
    <col min="7687" max="7688" width="22.42578125" style="1" bestFit="1" customWidth="1"/>
    <col min="7689" max="7689" width="22.28515625" style="1" bestFit="1" customWidth="1"/>
    <col min="7690" max="7690" width="16.7109375" style="1" customWidth="1"/>
    <col min="7691" max="7691" width="21.42578125" style="1" bestFit="1" customWidth="1"/>
    <col min="7692" max="7692" width="22.28515625" style="1" bestFit="1" customWidth="1"/>
    <col min="7693" max="7932" width="9.140625" style="1"/>
    <col min="7933" max="7933" width="4.28515625" style="1" customWidth="1"/>
    <col min="7934" max="7934" width="9.85546875" style="1" customWidth="1"/>
    <col min="7935" max="7935" width="55.42578125" style="1" bestFit="1" customWidth="1"/>
    <col min="7936" max="7936" width="12.85546875" style="1" customWidth="1"/>
    <col min="7937" max="7937" width="14.85546875" style="1" customWidth="1"/>
    <col min="7938" max="7938" width="14.28515625" style="1" customWidth="1"/>
    <col min="7939" max="7939" width="20.7109375" style="1" customWidth="1"/>
    <col min="7940" max="7940" width="21" style="1" customWidth="1"/>
    <col min="7941" max="7942" width="21.28515625" style="1" customWidth="1"/>
    <col min="7943" max="7944" width="22.42578125" style="1" bestFit="1" customWidth="1"/>
    <col min="7945" max="7945" width="22.28515625" style="1" bestFit="1" customWidth="1"/>
    <col min="7946" max="7946" width="16.7109375" style="1" customWidth="1"/>
    <col min="7947" max="7947" width="21.42578125" style="1" bestFit="1" customWidth="1"/>
    <col min="7948" max="7948" width="22.28515625" style="1" bestFit="1" customWidth="1"/>
    <col min="7949" max="8188" width="9.140625" style="1"/>
    <col min="8189" max="8189" width="4.28515625" style="1" customWidth="1"/>
    <col min="8190" max="8190" width="9.85546875" style="1" customWidth="1"/>
    <col min="8191" max="8191" width="55.42578125" style="1" bestFit="1" customWidth="1"/>
    <col min="8192" max="8192" width="12.85546875" style="1" customWidth="1"/>
    <col min="8193" max="8193" width="14.85546875" style="1" customWidth="1"/>
    <col min="8194" max="8194" width="14.28515625" style="1" customWidth="1"/>
    <col min="8195" max="8195" width="20.7109375" style="1" customWidth="1"/>
    <col min="8196" max="8196" width="21" style="1" customWidth="1"/>
    <col min="8197" max="8198" width="21.28515625" style="1" customWidth="1"/>
    <col min="8199" max="8200" width="22.42578125" style="1" bestFit="1" customWidth="1"/>
    <col min="8201" max="8201" width="22.28515625" style="1" bestFit="1" customWidth="1"/>
    <col min="8202" max="8202" width="16.7109375" style="1" customWidth="1"/>
    <col min="8203" max="8203" width="21.42578125" style="1" bestFit="1" customWidth="1"/>
    <col min="8204" max="8204" width="22.28515625" style="1" bestFit="1" customWidth="1"/>
    <col min="8205" max="8444" width="9.140625" style="1"/>
    <col min="8445" max="8445" width="4.28515625" style="1" customWidth="1"/>
    <col min="8446" max="8446" width="9.85546875" style="1" customWidth="1"/>
    <col min="8447" max="8447" width="55.42578125" style="1" bestFit="1" customWidth="1"/>
    <col min="8448" max="8448" width="12.85546875" style="1" customWidth="1"/>
    <col min="8449" max="8449" width="14.85546875" style="1" customWidth="1"/>
    <col min="8450" max="8450" width="14.28515625" style="1" customWidth="1"/>
    <col min="8451" max="8451" width="20.7109375" style="1" customWidth="1"/>
    <col min="8452" max="8452" width="21" style="1" customWidth="1"/>
    <col min="8453" max="8454" width="21.28515625" style="1" customWidth="1"/>
    <col min="8455" max="8456" width="22.42578125" style="1" bestFit="1" customWidth="1"/>
    <col min="8457" max="8457" width="22.28515625" style="1" bestFit="1" customWidth="1"/>
    <col min="8458" max="8458" width="16.7109375" style="1" customWidth="1"/>
    <col min="8459" max="8459" width="21.42578125" style="1" bestFit="1" customWidth="1"/>
    <col min="8460" max="8460" width="22.28515625" style="1" bestFit="1" customWidth="1"/>
    <col min="8461" max="8700" width="9.140625" style="1"/>
    <col min="8701" max="8701" width="4.28515625" style="1" customWidth="1"/>
    <col min="8702" max="8702" width="9.85546875" style="1" customWidth="1"/>
    <col min="8703" max="8703" width="55.42578125" style="1" bestFit="1" customWidth="1"/>
    <col min="8704" max="8704" width="12.85546875" style="1" customWidth="1"/>
    <col min="8705" max="8705" width="14.85546875" style="1" customWidth="1"/>
    <col min="8706" max="8706" width="14.28515625" style="1" customWidth="1"/>
    <col min="8707" max="8707" width="20.7109375" style="1" customWidth="1"/>
    <col min="8708" max="8708" width="21" style="1" customWidth="1"/>
    <col min="8709" max="8710" width="21.28515625" style="1" customWidth="1"/>
    <col min="8711" max="8712" width="22.42578125" style="1" bestFit="1" customWidth="1"/>
    <col min="8713" max="8713" width="22.28515625" style="1" bestFit="1" customWidth="1"/>
    <col min="8714" max="8714" width="16.7109375" style="1" customWidth="1"/>
    <col min="8715" max="8715" width="21.42578125" style="1" bestFit="1" customWidth="1"/>
    <col min="8716" max="8716" width="22.28515625" style="1" bestFit="1" customWidth="1"/>
    <col min="8717" max="8956" width="9.140625" style="1"/>
    <col min="8957" max="8957" width="4.28515625" style="1" customWidth="1"/>
    <col min="8958" max="8958" width="9.85546875" style="1" customWidth="1"/>
    <col min="8959" max="8959" width="55.42578125" style="1" bestFit="1" customWidth="1"/>
    <col min="8960" max="8960" width="12.85546875" style="1" customWidth="1"/>
    <col min="8961" max="8961" width="14.85546875" style="1" customWidth="1"/>
    <col min="8962" max="8962" width="14.28515625" style="1" customWidth="1"/>
    <col min="8963" max="8963" width="20.7109375" style="1" customWidth="1"/>
    <col min="8964" max="8964" width="21" style="1" customWidth="1"/>
    <col min="8965" max="8966" width="21.28515625" style="1" customWidth="1"/>
    <col min="8967" max="8968" width="22.42578125" style="1" bestFit="1" customWidth="1"/>
    <col min="8969" max="8969" width="22.28515625" style="1" bestFit="1" customWidth="1"/>
    <col min="8970" max="8970" width="16.7109375" style="1" customWidth="1"/>
    <col min="8971" max="8971" width="21.42578125" style="1" bestFit="1" customWidth="1"/>
    <col min="8972" max="8972" width="22.28515625" style="1" bestFit="1" customWidth="1"/>
    <col min="8973" max="9212" width="9.140625" style="1"/>
    <col min="9213" max="9213" width="4.28515625" style="1" customWidth="1"/>
    <col min="9214" max="9214" width="9.85546875" style="1" customWidth="1"/>
    <col min="9215" max="9215" width="55.42578125" style="1" bestFit="1" customWidth="1"/>
    <col min="9216" max="9216" width="12.85546875" style="1" customWidth="1"/>
    <col min="9217" max="9217" width="14.85546875" style="1" customWidth="1"/>
    <col min="9218" max="9218" width="14.28515625" style="1" customWidth="1"/>
    <col min="9219" max="9219" width="20.7109375" style="1" customWidth="1"/>
    <col min="9220" max="9220" width="21" style="1" customWidth="1"/>
    <col min="9221" max="9222" width="21.28515625" style="1" customWidth="1"/>
    <col min="9223" max="9224" width="22.42578125" style="1" bestFit="1" customWidth="1"/>
    <col min="9225" max="9225" width="22.28515625" style="1" bestFit="1" customWidth="1"/>
    <col min="9226" max="9226" width="16.7109375" style="1" customWidth="1"/>
    <col min="9227" max="9227" width="21.42578125" style="1" bestFit="1" customWidth="1"/>
    <col min="9228" max="9228" width="22.28515625" style="1" bestFit="1" customWidth="1"/>
    <col min="9229" max="9468" width="9.140625" style="1"/>
    <col min="9469" max="9469" width="4.28515625" style="1" customWidth="1"/>
    <col min="9470" max="9470" width="9.85546875" style="1" customWidth="1"/>
    <col min="9471" max="9471" width="55.42578125" style="1" bestFit="1" customWidth="1"/>
    <col min="9472" max="9472" width="12.85546875" style="1" customWidth="1"/>
    <col min="9473" max="9473" width="14.85546875" style="1" customWidth="1"/>
    <col min="9474" max="9474" width="14.28515625" style="1" customWidth="1"/>
    <col min="9475" max="9475" width="20.7109375" style="1" customWidth="1"/>
    <col min="9476" max="9476" width="21" style="1" customWidth="1"/>
    <col min="9477" max="9478" width="21.28515625" style="1" customWidth="1"/>
    <col min="9479" max="9480" width="22.42578125" style="1" bestFit="1" customWidth="1"/>
    <col min="9481" max="9481" width="22.28515625" style="1" bestFit="1" customWidth="1"/>
    <col min="9482" max="9482" width="16.7109375" style="1" customWidth="1"/>
    <col min="9483" max="9483" width="21.42578125" style="1" bestFit="1" customWidth="1"/>
    <col min="9484" max="9484" width="22.28515625" style="1" bestFit="1" customWidth="1"/>
    <col min="9485" max="9724" width="9.140625" style="1"/>
    <col min="9725" max="9725" width="4.28515625" style="1" customWidth="1"/>
    <col min="9726" max="9726" width="9.85546875" style="1" customWidth="1"/>
    <col min="9727" max="9727" width="55.42578125" style="1" bestFit="1" customWidth="1"/>
    <col min="9728" max="9728" width="12.85546875" style="1" customWidth="1"/>
    <col min="9729" max="9729" width="14.85546875" style="1" customWidth="1"/>
    <col min="9730" max="9730" width="14.28515625" style="1" customWidth="1"/>
    <col min="9731" max="9731" width="20.7109375" style="1" customWidth="1"/>
    <col min="9732" max="9732" width="21" style="1" customWidth="1"/>
    <col min="9733" max="9734" width="21.28515625" style="1" customWidth="1"/>
    <col min="9735" max="9736" width="22.42578125" style="1" bestFit="1" customWidth="1"/>
    <col min="9737" max="9737" width="22.28515625" style="1" bestFit="1" customWidth="1"/>
    <col min="9738" max="9738" width="16.7109375" style="1" customWidth="1"/>
    <col min="9739" max="9739" width="21.42578125" style="1" bestFit="1" customWidth="1"/>
    <col min="9740" max="9740" width="22.28515625" style="1" bestFit="1" customWidth="1"/>
    <col min="9741" max="9980" width="9.140625" style="1"/>
    <col min="9981" max="9981" width="4.28515625" style="1" customWidth="1"/>
    <col min="9982" max="9982" width="9.85546875" style="1" customWidth="1"/>
    <col min="9983" max="9983" width="55.42578125" style="1" bestFit="1" customWidth="1"/>
    <col min="9984" max="9984" width="12.85546875" style="1" customWidth="1"/>
    <col min="9985" max="9985" width="14.85546875" style="1" customWidth="1"/>
    <col min="9986" max="9986" width="14.28515625" style="1" customWidth="1"/>
    <col min="9987" max="9987" width="20.7109375" style="1" customWidth="1"/>
    <col min="9988" max="9988" width="21" style="1" customWidth="1"/>
    <col min="9989" max="9990" width="21.28515625" style="1" customWidth="1"/>
    <col min="9991" max="9992" width="22.42578125" style="1" bestFit="1" customWidth="1"/>
    <col min="9993" max="9993" width="22.28515625" style="1" bestFit="1" customWidth="1"/>
    <col min="9994" max="9994" width="16.7109375" style="1" customWidth="1"/>
    <col min="9995" max="9995" width="21.42578125" style="1" bestFit="1" customWidth="1"/>
    <col min="9996" max="9996" width="22.28515625" style="1" bestFit="1" customWidth="1"/>
    <col min="9997" max="10236" width="9.140625" style="1"/>
    <col min="10237" max="10237" width="4.28515625" style="1" customWidth="1"/>
    <col min="10238" max="10238" width="9.85546875" style="1" customWidth="1"/>
    <col min="10239" max="10239" width="55.42578125" style="1" bestFit="1" customWidth="1"/>
    <col min="10240" max="10240" width="12.85546875" style="1" customWidth="1"/>
    <col min="10241" max="10241" width="14.85546875" style="1" customWidth="1"/>
    <col min="10242" max="10242" width="14.28515625" style="1" customWidth="1"/>
    <col min="10243" max="10243" width="20.7109375" style="1" customWidth="1"/>
    <col min="10244" max="10244" width="21" style="1" customWidth="1"/>
    <col min="10245" max="10246" width="21.28515625" style="1" customWidth="1"/>
    <col min="10247" max="10248" width="22.42578125" style="1" bestFit="1" customWidth="1"/>
    <col min="10249" max="10249" width="22.28515625" style="1" bestFit="1" customWidth="1"/>
    <col min="10250" max="10250" width="16.7109375" style="1" customWidth="1"/>
    <col min="10251" max="10251" width="21.42578125" style="1" bestFit="1" customWidth="1"/>
    <col min="10252" max="10252" width="22.28515625" style="1" bestFit="1" customWidth="1"/>
    <col min="10253" max="10492" width="9.140625" style="1"/>
    <col min="10493" max="10493" width="4.28515625" style="1" customWidth="1"/>
    <col min="10494" max="10494" width="9.85546875" style="1" customWidth="1"/>
    <col min="10495" max="10495" width="55.42578125" style="1" bestFit="1" customWidth="1"/>
    <col min="10496" max="10496" width="12.85546875" style="1" customWidth="1"/>
    <col min="10497" max="10497" width="14.85546875" style="1" customWidth="1"/>
    <col min="10498" max="10498" width="14.28515625" style="1" customWidth="1"/>
    <col min="10499" max="10499" width="20.7109375" style="1" customWidth="1"/>
    <col min="10500" max="10500" width="21" style="1" customWidth="1"/>
    <col min="10501" max="10502" width="21.28515625" style="1" customWidth="1"/>
    <col min="10503" max="10504" width="22.42578125" style="1" bestFit="1" customWidth="1"/>
    <col min="10505" max="10505" width="22.28515625" style="1" bestFit="1" customWidth="1"/>
    <col min="10506" max="10506" width="16.7109375" style="1" customWidth="1"/>
    <col min="10507" max="10507" width="21.42578125" style="1" bestFit="1" customWidth="1"/>
    <col min="10508" max="10508" width="22.28515625" style="1" bestFit="1" customWidth="1"/>
    <col min="10509" max="10748" width="9.140625" style="1"/>
    <col min="10749" max="10749" width="4.28515625" style="1" customWidth="1"/>
    <col min="10750" max="10750" width="9.85546875" style="1" customWidth="1"/>
    <col min="10751" max="10751" width="55.42578125" style="1" bestFit="1" customWidth="1"/>
    <col min="10752" max="10752" width="12.85546875" style="1" customWidth="1"/>
    <col min="10753" max="10753" width="14.85546875" style="1" customWidth="1"/>
    <col min="10754" max="10754" width="14.28515625" style="1" customWidth="1"/>
    <col min="10755" max="10755" width="20.7109375" style="1" customWidth="1"/>
    <col min="10756" max="10756" width="21" style="1" customWidth="1"/>
    <col min="10757" max="10758" width="21.28515625" style="1" customWidth="1"/>
    <col min="10759" max="10760" width="22.42578125" style="1" bestFit="1" customWidth="1"/>
    <col min="10761" max="10761" width="22.28515625" style="1" bestFit="1" customWidth="1"/>
    <col min="10762" max="10762" width="16.7109375" style="1" customWidth="1"/>
    <col min="10763" max="10763" width="21.42578125" style="1" bestFit="1" customWidth="1"/>
    <col min="10764" max="10764" width="22.28515625" style="1" bestFit="1" customWidth="1"/>
    <col min="10765" max="11004" width="9.140625" style="1"/>
    <col min="11005" max="11005" width="4.28515625" style="1" customWidth="1"/>
    <col min="11006" max="11006" width="9.85546875" style="1" customWidth="1"/>
    <col min="11007" max="11007" width="55.42578125" style="1" bestFit="1" customWidth="1"/>
    <col min="11008" max="11008" width="12.85546875" style="1" customWidth="1"/>
    <col min="11009" max="11009" width="14.85546875" style="1" customWidth="1"/>
    <col min="11010" max="11010" width="14.28515625" style="1" customWidth="1"/>
    <col min="11011" max="11011" width="20.7109375" style="1" customWidth="1"/>
    <col min="11012" max="11012" width="21" style="1" customWidth="1"/>
    <col min="11013" max="11014" width="21.28515625" style="1" customWidth="1"/>
    <col min="11015" max="11016" width="22.42578125" style="1" bestFit="1" customWidth="1"/>
    <col min="11017" max="11017" width="22.28515625" style="1" bestFit="1" customWidth="1"/>
    <col min="11018" max="11018" width="16.7109375" style="1" customWidth="1"/>
    <col min="11019" max="11019" width="21.42578125" style="1" bestFit="1" customWidth="1"/>
    <col min="11020" max="11020" width="22.28515625" style="1" bestFit="1" customWidth="1"/>
    <col min="11021" max="11260" width="9.140625" style="1"/>
    <col min="11261" max="11261" width="4.28515625" style="1" customWidth="1"/>
    <col min="11262" max="11262" width="9.85546875" style="1" customWidth="1"/>
    <col min="11263" max="11263" width="55.42578125" style="1" bestFit="1" customWidth="1"/>
    <col min="11264" max="11264" width="12.85546875" style="1" customWidth="1"/>
    <col min="11265" max="11265" width="14.85546875" style="1" customWidth="1"/>
    <col min="11266" max="11266" width="14.28515625" style="1" customWidth="1"/>
    <col min="11267" max="11267" width="20.7109375" style="1" customWidth="1"/>
    <col min="11268" max="11268" width="21" style="1" customWidth="1"/>
    <col min="11269" max="11270" width="21.28515625" style="1" customWidth="1"/>
    <col min="11271" max="11272" width="22.42578125" style="1" bestFit="1" customWidth="1"/>
    <col min="11273" max="11273" width="22.28515625" style="1" bestFit="1" customWidth="1"/>
    <col min="11274" max="11274" width="16.7109375" style="1" customWidth="1"/>
    <col min="11275" max="11275" width="21.42578125" style="1" bestFit="1" customWidth="1"/>
    <col min="11276" max="11276" width="22.28515625" style="1" bestFit="1" customWidth="1"/>
    <col min="11277" max="11516" width="9.140625" style="1"/>
    <col min="11517" max="11517" width="4.28515625" style="1" customWidth="1"/>
    <col min="11518" max="11518" width="9.85546875" style="1" customWidth="1"/>
    <col min="11519" max="11519" width="55.42578125" style="1" bestFit="1" customWidth="1"/>
    <col min="11520" max="11520" width="12.85546875" style="1" customWidth="1"/>
    <col min="11521" max="11521" width="14.85546875" style="1" customWidth="1"/>
    <col min="11522" max="11522" width="14.28515625" style="1" customWidth="1"/>
    <col min="11523" max="11523" width="20.7109375" style="1" customWidth="1"/>
    <col min="11524" max="11524" width="21" style="1" customWidth="1"/>
    <col min="11525" max="11526" width="21.28515625" style="1" customWidth="1"/>
    <col min="11527" max="11528" width="22.42578125" style="1" bestFit="1" customWidth="1"/>
    <col min="11529" max="11529" width="22.28515625" style="1" bestFit="1" customWidth="1"/>
    <col min="11530" max="11530" width="16.7109375" style="1" customWidth="1"/>
    <col min="11531" max="11531" width="21.42578125" style="1" bestFit="1" customWidth="1"/>
    <col min="11532" max="11532" width="22.28515625" style="1" bestFit="1" customWidth="1"/>
    <col min="11533" max="11772" width="9.140625" style="1"/>
    <col min="11773" max="11773" width="4.28515625" style="1" customWidth="1"/>
    <col min="11774" max="11774" width="9.85546875" style="1" customWidth="1"/>
    <col min="11775" max="11775" width="55.42578125" style="1" bestFit="1" customWidth="1"/>
    <col min="11776" max="11776" width="12.85546875" style="1" customWidth="1"/>
    <col min="11777" max="11777" width="14.85546875" style="1" customWidth="1"/>
    <col min="11778" max="11778" width="14.28515625" style="1" customWidth="1"/>
    <col min="11779" max="11779" width="20.7109375" style="1" customWidth="1"/>
    <col min="11780" max="11780" width="21" style="1" customWidth="1"/>
    <col min="11781" max="11782" width="21.28515625" style="1" customWidth="1"/>
    <col min="11783" max="11784" width="22.42578125" style="1" bestFit="1" customWidth="1"/>
    <col min="11785" max="11785" width="22.28515625" style="1" bestFit="1" customWidth="1"/>
    <col min="11786" max="11786" width="16.7109375" style="1" customWidth="1"/>
    <col min="11787" max="11787" width="21.42578125" style="1" bestFit="1" customWidth="1"/>
    <col min="11788" max="11788" width="22.28515625" style="1" bestFit="1" customWidth="1"/>
    <col min="11789" max="12028" width="9.140625" style="1"/>
    <col min="12029" max="12029" width="4.28515625" style="1" customWidth="1"/>
    <col min="12030" max="12030" width="9.85546875" style="1" customWidth="1"/>
    <col min="12031" max="12031" width="55.42578125" style="1" bestFit="1" customWidth="1"/>
    <col min="12032" max="12032" width="12.85546875" style="1" customWidth="1"/>
    <col min="12033" max="12033" width="14.85546875" style="1" customWidth="1"/>
    <col min="12034" max="12034" width="14.28515625" style="1" customWidth="1"/>
    <col min="12035" max="12035" width="20.7109375" style="1" customWidth="1"/>
    <col min="12036" max="12036" width="21" style="1" customWidth="1"/>
    <col min="12037" max="12038" width="21.28515625" style="1" customWidth="1"/>
    <col min="12039" max="12040" width="22.42578125" style="1" bestFit="1" customWidth="1"/>
    <col min="12041" max="12041" width="22.28515625" style="1" bestFit="1" customWidth="1"/>
    <col min="12042" max="12042" width="16.7109375" style="1" customWidth="1"/>
    <col min="12043" max="12043" width="21.42578125" style="1" bestFit="1" customWidth="1"/>
    <col min="12044" max="12044" width="22.28515625" style="1" bestFit="1" customWidth="1"/>
    <col min="12045" max="12284" width="9.140625" style="1"/>
    <col min="12285" max="12285" width="4.28515625" style="1" customWidth="1"/>
    <col min="12286" max="12286" width="9.85546875" style="1" customWidth="1"/>
    <col min="12287" max="12287" width="55.42578125" style="1" bestFit="1" customWidth="1"/>
    <col min="12288" max="12288" width="12.85546875" style="1" customWidth="1"/>
    <col min="12289" max="12289" width="14.85546875" style="1" customWidth="1"/>
    <col min="12290" max="12290" width="14.28515625" style="1" customWidth="1"/>
    <col min="12291" max="12291" width="20.7109375" style="1" customWidth="1"/>
    <col min="12292" max="12292" width="21" style="1" customWidth="1"/>
    <col min="12293" max="12294" width="21.28515625" style="1" customWidth="1"/>
    <col min="12295" max="12296" width="22.42578125" style="1" bestFit="1" customWidth="1"/>
    <col min="12297" max="12297" width="22.28515625" style="1" bestFit="1" customWidth="1"/>
    <col min="12298" max="12298" width="16.7109375" style="1" customWidth="1"/>
    <col min="12299" max="12299" width="21.42578125" style="1" bestFit="1" customWidth="1"/>
    <col min="12300" max="12300" width="22.28515625" style="1" bestFit="1" customWidth="1"/>
    <col min="12301" max="12540" width="9.140625" style="1"/>
    <col min="12541" max="12541" width="4.28515625" style="1" customWidth="1"/>
    <col min="12542" max="12542" width="9.85546875" style="1" customWidth="1"/>
    <col min="12543" max="12543" width="55.42578125" style="1" bestFit="1" customWidth="1"/>
    <col min="12544" max="12544" width="12.85546875" style="1" customWidth="1"/>
    <col min="12545" max="12545" width="14.85546875" style="1" customWidth="1"/>
    <col min="12546" max="12546" width="14.28515625" style="1" customWidth="1"/>
    <col min="12547" max="12547" width="20.7109375" style="1" customWidth="1"/>
    <col min="12548" max="12548" width="21" style="1" customWidth="1"/>
    <col min="12549" max="12550" width="21.28515625" style="1" customWidth="1"/>
    <col min="12551" max="12552" width="22.42578125" style="1" bestFit="1" customWidth="1"/>
    <col min="12553" max="12553" width="22.28515625" style="1" bestFit="1" customWidth="1"/>
    <col min="12554" max="12554" width="16.7109375" style="1" customWidth="1"/>
    <col min="12555" max="12555" width="21.42578125" style="1" bestFit="1" customWidth="1"/>
    <col min="12556" max="12556" width="22.28515625" style="1" bestFit="1" customWidth="1"/>
    <col min="12557" max="12796" width="9.140625" style="1"/>
    <col min="12797" max="12797" width="4.28515625" style="1" customWidth="1"/>
    <col min="12798" max="12798" width="9.85546875" style="1" customWidth="1"/>
    <col min="12799" max="12799" width="55.42578125" style="1" bestFit="1" customWidth="1"/>
    <col min="12800" max="12800" width="12.85546875" style="1" customWidth="1"/>
    <col min="12801" max="12801" width="14.85546875" style="1" customWidth="1"/>
    <col min="12802" max="12802" width="14.28515625" style="1" customWidth="1"/>
    <col min="12803" max="12803" width="20.7109375" style="1" customWidth="1"/>
    <col min="12804" max="12804" width="21" style="1" customWidth="1"/>
    <col min="12805" max="12806" width="21.28515625" style="1" customWidth="1"/>
    <col min="12807" max="12808" width="22.42578125" style="1" bestFit="1" customWidth="1"/>
    <col min="12809" max="12809" width="22.28515625" style="1" bestFit="1" customWidth="1"/>
    <col min="12810" max="12810" width="16.7109375" style="1" customWidth="1"/>
    <col min="12811" max="12811" width="21.42578125" style="1" bestFit="1" customWidth="1"/>
    <col min="12812" max="12812" width="22.28515625" style="1" bestFit="1" customWidth="1"/>
    <col min="12813" max="13052" width="9.140625" style="1"/>
    <col min="13053" max="13053" width="4.28515625" style="1" customWidth="1"/>
    <col min="13054" max="13054" width="9.85546875" style="1" customWidth="1"/>
    <col min="13055" max="13055" width="55.42578125" style="1" bestFit="1" customWidth="1"/>
    <col min="13056" max="13056" width="12.85546875" style="1" customWidth="1"/>
    <col min="13057" max="13057" width="14.85546875" style="1" customWidth="1"/>
    <col min="13058" max="13058" width="14.28515625" style="1" customWidth="1"/>
    <col min="13059" max="13059" width="20.7109375" style="1" customWidth="1"/>
    <col min="13060" max="13060" width="21" style="1" customWidth="1"/>
    <col min="13061" max="13062" width="21.28515625" style="1" customWidth="1"/>
    <col min="13063" max="13064" width="22.42578125" style="1" bestFit="1" customWidth="1"/>
    <col min="13065" max="13065" width="22.28515625" style="1" bestFit="1" customWidth="1"/>
    <col min="13066" max="13066" width="16.7109375" style="1" customWidth="1"/>
    <col min="13067" max="13067" width="21.42578125" style="1" bestFit="1" customWidth="1"/>
    <col min="13068" max="13068" width="22.28515625" style="1" bestFit="1" customWidth="1"/>
    <col min="13069" max="13308" width="9.140625" style="1"/>
    <col min="13309" max="13309" width="4.28515625" style="1" customWidth="1"/>
    <col min="13310" max="13310" width="9.85546875" style="1" customWidth="1"/>
    <col min="13311" max="13311" width="55.42578125" style="1" bestFit="1" customWidth="1"/>
    <col min="13312" max="13312" width="12.85546875" style="1" customWidth="1"/>
    <col min="13313" max="13313" width="14.85546875" style="1" customWidth="1"/>
    <col min="13314" max="13314" width="14.28515625" style="1" customWidth="1"/>
    <col min="13315" max="13315" width="20.7109375" style="1" customWidth="1"/>
    <col min="13316" max="13316" width="21" style="1" customWidth="1"/>
    <col min="13317" max="13318" width="21.28515625" style="1" customWidth="1"/>
    <col min="13319" max="13320" width="22.42578125" style="1" bestFit="1" customWidth="1"/>
    <col min="13321" max="13321" width="22.28515625" style="1" bestFit="1" customWidth="1"/>
    <col min="13322" max="13322" width="16.7109375" style="1" customWidth="1"/>
    <col min="13323" max="13323" width="21.42578125" style="1" bestFit="1" customWidth="1"/>
    <col min="13324" max="13324" width="22.28515625" style="1" bestFit="1" customWidth="1"/>
    <col min="13325" max="13564" width="9.140625" style="1"/>
    <col min="13565" max="13565" width="4.28515625" style="1" customWidth="1"/>
    <col min="13566" max="13566" width="9.85546875" style="1" customWidth="1"/>
    <col min="13567" max="13567" width="55.42578125" style="1" bestFit="1" customWidth="1"/>
    <col min="13568" max="13568" width="12.85546875" style="1" customWidth="1"/>
    <col min="13569" max="13569" width="14.85546875" style="1" customWidth="1"/>
    <col min="13570" max="13570" width="14.28515625" style="1" customWidth="1"/>
    <col min="13571" max="13571" width="20.7109375" style="1" customWidth="1"/>
    <col min="13572" max="13572" width="21" style="1" customWidth="1"/>
    <col min="13573" max="13574" width="21.28515625" style="1" customWidth="1"/>
    <col min="13575" max="13576" width="22.42578125" style="1" bestFit="1" customWidth="1"/>
    <col min="13577" max="13577" width="22.28515625" style="1" bestFit="1" customWidth="1"/>
    <col min="13578" max="13578" width="16.7109375" style="1" customWidth="1"/>
    <col min="13579" max="13579" width="21.42578125" style="1" bestFit="1" customWidth="1"/>
    <col min="13580" max="13580" width="22.28515625" style="1" bestFit="1" customWidth="1"/>
    <col min="13581" max="13820" width="9.140625" style="1"/>
    <col min="13821" max="13821" width="4.28515625" style="1" customWidth="1"/>
    <col min="13822" max="13822" width="9.85546875" style="1" customWidth="1"/>
    <col min="13823" max="13823" width="55.42578125" style="1" bestFit="1" customWidth="1"/>
    <col min="13824" max="13824" width="12.85546875" style="1" customWidth="1"/>
    <col min="13825" max="13825" width="14.85546875" style="1" customWidth="1"/>
    <col min="13826" max="13826" width="14.28515625" style="1" customWidth="1"/>
    <col min="13827" max="13827" width="20.7109375" style="1" customWidth="1"/>
    <col min="13828" max="13828" width="21" style="1" customWidth="1"/>
    <col min="13829" max="13830" width="21.28515625" style="1" customWidth="1"/>
    <col min="13831" max="13832" width="22.42578125" style="1" bestFit="1" customWidth="1"/>
    <col min="13833" max="13833" width="22.28515625" style="1" bestFit="1" customWidth="1"/>
    <col min="13834" max="13834" width="16.7109375" style="1" customWidth="1"/>
    <col min="13835" max="13835" width="21.42578125" style="1" bestFit="1" customWidth="1"/>
    <col min="13836" max="13836" width="22.28515625" style="1" bestFit="1" customWidth="1"/>
    <col min="13837" max="14076" width="9.140625" style="1"/>
    <col min="14077" max="14077" width="4.28515625" style="1" customWidth="1"/>
    <col min="14078" max="14078" width="9.85546875" style="1" customWidth="1"/>
    <col min="14079" max="14079" width="55.42578125" style="1" bestFit="1" customWidth="1"/>
    <col min="14080" max="14080" width="12.85546875" style="1" customWidth="1"/>
    <col min="14081" max="14081" width="14.85546875" style="1" customWidth="1"/>
    <col min="14082" max="14082" width="14.28515625" style="1" customWidth="1"/>
    <col min="14083" max="14083" width="20.7109375" style="1" customWidth="1"/>
    <col min="14084" max="14084" width="21" style="1" customWidth="1"/>
    <col min="14085" max="14086" width="21.28515625" style="1" customWidth="1"/>
    <col min="14087" max="14088" width="22.42578125" style="1" bestFit="1" customWidth="1"/>
    <col min="14089" max="14089" width="22.28515625" style="1" bestFit="1" customWidth="1"/>
    <col min="14090" max="14090" width="16.7109375" style="1" customWidth="1"/>
    <col min="14091" max="14091" width="21.42578125" style="1" bestFit="1" customWidth="1"/>
    <col min="14092" max="14092" width="22.28515625" style="1" bestFit="1" customWidth="1"/>
    <col min="14093" max="14332" width="9.140625" style="1"/>
    <col min="14333" max="14333" width="4.28515625" style="1" customWidth="1"/>
    <col min="14334" max="14334" width="9.85546875" style="1" customWidth="1"/>
    <col min="14335" max="14335" width="55.42578125" style="1" bestFit="1" customWidth="1"/>
    <col min="14336" max="14336" width="12.85546875" style="1" customWidth="1"/>
    <col min="14337" max="14337" width="14.85546875" style="1" customWidth="1"/>
    <col min="14338" max="14338" width="14.28515625" style="1" customWidth="1"/>
    <col min="14339" max="14339" width="20.7109375" style="1" customWidth="1"/>
    <col min="14340" max="14340" width="21" style="1" customWidth="1"/>
    <col min="14341" max="14342" width="21.28515625" style="1" customWidth="1"/>
    <col min="14343" max="14344" width="22.42578125" style="1" bestFit="1" customWidth="1"/>
    <col min="14345" max="14345" width="22.28515625" style="1" bestFit="1" customWidth="1"/>
    <col min="14346" max="14346" width="16.7109375" style="1" customWidth="1"/>
    <col min="14347" max="14347" width="21.42578125" style="1" bestFit="1" customWidth="1"/>
    <col min="14348" max="14348" width="22.28515625" style="1" bestFit="1" customWidth="1"/>
    <col min="14349" max="14588" width="9.140625" style="1"/>
    <col min="14589" max="14589" width="4.28515625" style="1" customWidth="1"/>
    <col min="14590" max="14590" width="9.85546875" style="1" customWidth="1"/>
    <col min="14591" max="14591" width="55.42578125" style="1" bestFit="1" customWidth="1"/>
    <col min="14592" max="14592" width="12.85546875" style="1" customWidth="1"/>
    <col min="14593" max="14593" width="14.85546875" style="1" customWidth="1"/>
    <col min="14594" max="14594" width="14.28515625" style="1" customWidth="1"/>
    <col min="14595" max="14595" width="20.7109375" style="1" customWidth="1"/>
    <col min="14596" max="14596" width="21" style="1" customWidth="1"/>
    <col min="14597" max="14598" width="21.28515625" style="1" customWidth="1"/>
    <col min="14599" max="14600" width="22.42578125" style="1" bestFit="1" customWidth="1"/>
    <col min="14601" max="14601" width="22.28515625" style="1" bestFit="1" customWidth="1"/>
    <col min="14602" max="14602" width="16.7109375" style="1" customWidth="1"/>
    <col min="14603" max="14603" width="21.42578125" style="1" bestFit="1" customWidth="1"/>
    <col min="14604" max="14604" width="22.28515625" style="1" bestFit="1" customWidth="1"/>
    <col min="14605" max="14844" width="9.140625" style="1"/>
    <col min="14845" max="14845" width="4.28515625" style="1" customWidth="1"/>
    <col min="14846" max="14846" width="9.85546875" style="1" customWidth="1"/>
    <col min="14847" max="14847" width="55.42578125" style="1" bestFit="1" customWidth="1"/>
    <col min="14848" max="14848" width="12.85546875" style="1" customWidth="1"/>
    <col min="14849" max="14849" width="14.85546875" style="1" customWidth="1"/>
    <col min="14850" max="14850" width="14.28515625" style="1" customWidth="1"/>
    <col min="14851" max="14851" width="20.7109375" style="1" customWidth="1"/>
    <col min="14852" max="14852" width="21" style="1" customWidth="1"/>
    <col min="14853" max="14854" width="21.28515625" style="1" customWidth="1"/>
    <col min="14855" max="14856" width="22.42578125" style="1" bestFit="1" customWidth="1"/>
    <col min="14857" max="14857" width="22.28515625" style="1" bestFit="1" customWidth="1"/>
    <col min="14858" max="14858" width="16.7109375" style="1" customWidth="1"/>
    <col min="14859" max="14859" width="21.42578125" style="1" bestFit="1" customWidth="1"/>
    <col min="14860" max="14860" width="22.28515625" style="1" bestFit="1" customWidth="1"/>
    <col min="14861" max="15100" width="9.140625" style="1"/>
    <col min="15101" max="15101" width="4.28515625" style="1" customWidth="1"/>
    <col min="15102" max="15102" width="9.85546875" style="1" customWidth="1"/>
    <col min="15103" max="15103" width="55.42578125" style="1" bestFit="1" customWidth="1"/>
    <col min="15104" max="15104" width="12.85546875" style="1" customWidth="1"/>
    <col min="15105" max="15105" width="14.85546875" style="1" customWidth="1"/>
    <col min="15106" max="15106" width="14.28515625" style="1" customWidth="1"/>
    <col min="15107" max="15107" width="20.7109375" style="1" customWidth="1"/>
    <col min="15108" max="15108" width="21" style="1" customWidth="1"/>
    <col min="15109" max="15110" width="21.28515625" style="1" customWidth="1"/>
    <col min="15111" max="15112" width="22.42578125" style="1" bestFit="1" customWidth="1"/>
    <col min="15113" max="15113" width="22.28515625" style="1" bestFit="1" customWidth="1"/>
    <col min="15114" max="15114" width="16.7109375" style="1" customWidth="1"/>
    <col min="15115" max="15115" width="21.42578125" style="1" bestFit="1" customWidth="1"/>
    <col min="15116" max="15116" width="22.28515625" style="1" bestFit="1" customWidth="1"/>
    <col min="15117" max="15356" width="9.140625" style="1"/>
    <col min="15357" max="15357" width="4.28515625" style="1" customWidth="1"/>
    <col min="15358" max="15358" width="9.85546875" style="1" customWidth="1"/>
    <col min="15359" max="15359" width="55.42578125" style="1" bestFit="1" customWidth="1"/>
    <col min="15360" max="15360" width="12.85546875" style="1" customWidth="1"/>
    <col min="15361" max="15361" width="14.85546875" style="1" customWidth="1"/>
    <col min="15362" max="15362" width="14.28515625" style="1" customWidth="1"/>
    <col min="15363" max="15363" width="20.7109375" style="1" customWidth="1"/>
    <col min="15364" max="15364" width="21" style="1" customWidth="1"/>
    <col min="15365" max="15366" width="21.28515625" style="1" customWidth="1"/>
    <col min="15367" max="15368" width="22.42578125" style="1" bestFit="1" customWidth="1"/>
    <col min="15369" max="15369" width="22.28515625" style="1" bestFit="1" customWidth="1"/>
    <col min="15370" max="15370" width="16.7109375" style="1" customWidth="1"/>
    <col min="15371" max="15371" width="21.42578125" style="1" bestFit="1" customWidth="1"/>
    <col min="15372" max="15372" width="22.28515625" style="1" bestFit="1" customWidth="1"/>
    <col min="15373" max="15612" width="9.140625" style="1"/>
    <col min="15613" max="15613" width="4.28515625" style="1" customWidth="1"/>
    <col min="15614" max="15614" width="9.85546875" style="1" customWidth="1"/>
    <col min="15615" max="15615" width="55.42578125" style="1" bestFit="1" customWidth="1"/>
    <col min="15616" max="15616" width="12.85546875" style="1" customWidth="1"/>
    <col min="15617" max="15617" width="14.85546875" style="1" customWidth="1"/>
    <col min="15618" max="15618" width="14.28515625" style="1" customWidth="1"/>
    <col min="15619" max="15619" width="20.7109375" style="1" customWidth="1"/>
    <col min="15620" max="15620" width="21" style="1" customWidth="1"/>
    <col min="15621" max="15622" width="21.28515625" style="1" customWidth="1"/>
    <col min="15623" max="15624" width="22.42578125" style="1" bestFit="1" customWidth="1"/>
    <col min="15625" max="15625" width="22.28515625" style="1" bestFit="1" customWidth="1"/>
    <col min="15626" max="15626" width="16.7109375" style="1" customWidth="1"/>
    <col min="15627" max="15627" width="21.42578125" style="1" bestFit="1" customWidth="1"/>
    <col min="15628" max="15628" width="22.28515625" style="1" bestFit="1" customWidth="1"/>
    <col min="15629" max="15868" width="9.140625" style="1"/>
    <col min="15869" max="15869" width="4.28515625" style="1" customWidth="1"/>
    <col min="15870" max="15870" width="9.85546875" style="1" customWidth="1"/>
    <col min="15871" max="15871" width="55.42578125" style="1" bestFit="1" customWidth="1"/>
    <col min="15872" max="15872" width="12.85546875" style="1" customWidth="1"/>
    <col min="15873" max="15873" width="14.85546875" style="1" customWidth="1"/>
    <col min="15874" max="15874" width="14.28515625" style="1" customWidth="1"/>
    <col min="15875" max="15875" width="20.7109375" style="1" customWidth="1"/>
    <col min="15876" max="15876" width="21" style="1" customWidth="1"/>
    <col min="15877" max="15878" width="21.28515625" style="1" customWidth="1"/>
    <col min="15879" max="15880" width="22.42578125" style="1" bestFit="1" customWidth="1"/>
    <col min="15881" max="15881" width="22.28515625" style="1" bestFit="1" customWidth="1"/>
    <col min="15882" max="15882" width="16.7109375" style="1" customWidth="1"/>
    <col min="15883" max="15883" width="21.42578125" style="1" bestFit="1" customWidth="1"/>
    <col min="15884" max="15884" width="22.28515625" style="1" bestFit="1" customWidth="1"/>
    <col min="15885" max="16124" width="9.140625" style="1"/>
    <col min="16125" max="16125" width="4.28515625" style="1" customWidth="1"/>
    <col min="16126" max="16126" width="9.85546875" style="1" customWidth="1"/>
    <col min="16127" max="16127" width="55.42578125" style="1" bestFit="1" customWidth="1"/>
    <col min="16128" max="16128" width="12.85546875" style="1" customWidth="1"/>
    <col min="16129" max="16129" width="14.85546875" style="1" customWidth="1"/>
    <col min="16130" max="16130" width="14.28515625" style="1" customWidth="1"/>
    <col min="16131" max="16131" width="20.7109375" style="1" customWidth="1"/>
    <col min="16132" max="16132" width="21" style="1" customWidth="1"/>
    <col min="16133" max="16134" width="21.28515625" style="1" customWidth="1"/>
    <col min="16135" max="16136" width="22.42578125" style="1" bestFit="1" customWidth="1"/>
    <col min="16137" max="16137" width="22.28515625" style="1" bestFit="1" customWidth="1"/>
    <col min="16138" max="16138" width="16.7109375" style="1" customWidth="1"/>
    <col min="16139" max="16139" width="21.42578125" style="1" bestFit="1" customWidth="1"/>
    <col min="16140" max="16140" width="22.28515625" style="1" bestFit="1" customWidth="1"/>
    <col min="16141" max="16384" width="9.140625" style="1"/>
  </cols>
  <sheetData>
    <row r="6" spans="1:14" ht="13.9" customHeight="1" x14ac:dyDescent="0.2"/>
    <row r="7" spans="1:14" x14ac:dyDescent="0.2">
      <c r="J7" s="4"/>
      <c r="K7" s="5"/>
    </row>
    <row r="8" spans="1:14" ht="15" customHeight="1" x14ac:dyDescent="0.2">
      <c r="B8" s="6"/>
      <c r="C8" s="7"/>
      <c r="D8" s="8" t="s">
        <v>0</v>
      </c>
      <c r="E8" s="8"/>
      <c r="F8" s="8"/>
      <c r="G8" s="8"/>
      <c r="H8" s="8"/>
      <c r="I8" s="8"/>
      <c r="J8" s="7"/>
      <c r="K8" s="7"/>
      <c r="L8" s="7"/>
      <c r="M8" s="7"/>
    </row>
    <row r="9" spans="1:14" ht="15" customHeight="1" thickBot="1" x14ac:dyDescent="0.25">
      <c r="K9" s="9"/>
      <c r="L9" s="9"/>
      <c r="M9" s="9"/>
    </row>
    <row r="10" spans="1:14" ht="14.45" customHeight="1" x14ac:dyDescent="0.2">
      <c r="A10" s="10" t="s">
        <v>1</v>
      </c>
      <c r="B10" s="11" t="s">
        <v>2</v>
      </c>
      <c r="C10" s="11" t="s">
        <v>3</v>
      </c>
      <c r="D10" s="12" t="s">
        <v>4</v>
      </c>
      <c r="E10" s="13"/>
      <c r="F10" s="14"/>
      <c r="G10" s="15" t="s">
        <v>124</v>
      </c>
      <c r="H10" s="15"/>
      <c r="I10" s="15"/>
      <c r="J10" s="15"/>
      <c r="K10" s="16" t="s">
        <v>5</v>
      </c>
      <c r="L10" s="17"/>
      <c r="M10" s="18"/>
    </row>
    <row r="11" spans="1:14" s="6" customFormat="1" ht="15.75" customHeight="1" x14ac:dyDescent="0.2">
      <c r="A11" s="19"/>
      <c r="B11" s="20"/>
      <c r="C11" s="20"/>
      <c r="D11" s="21"/>
      <c r="E11" s="22"/>
      <c r="F11" s="23"/>
      <c r="G11" s="15"/>
      <c r="H11" s="15"/>
      <c r="I11" s="15"/>
      <c r="J11" s="15"/>
      <c r="K11" s="24"/>
      <c r="L11" s="25"/>
      <c r="M11" s="26"/>
    </row>
    <row r="12" spans="1:14" s="6" customFormat="1" ht="33.75" customHeight="1" x14ac:dyDescent="0.2">
      <c r="A12" s="19"/>
      <c r="B12" s="20"/>
      <c r="C12" s="20"/>
      <c r="D12" s="27"/>
      <c r="E12" s="28"/>
      <c r="F12" s="29"/>
      <c r="G12" s="30" t="s">
        <v>6</v>
      </c>
      <c r="H12" s="31" t="s">
        <v>7</v>
      </c>
      <c r="I12" s="32"/>
      <c r="J12" s="33" t="s">
        <v>8</v>
      </c>
      <c r="K12" s="34" t="s">
        <v>9</v>
      </c>
      <c r="L12" s="35" t="s">
        <v>10</v>
      </c>
      <c r="M12" s="36"/>
    </row>
    <row r="13" spans="1:14" s="6" customFormat="1" ht="47.25" x14ac:dyDescent="0.2">
      <c r="A13" s="37"/>
      <c r="B13" s="38"/>
      <c r="C13" s="38"/>
      <c r="D13" s="39" t="s">
        <v>11</v>
      </c>
      <c r="E13" s="39" t="s">
        <v>12</v>
      </c>
      <c r="F13" s="39" t="s">
        <v>13</v>
      </c>
      <c r="G13" s="40" t="s">
        <v>14</v>
      </c>
      <c r="H13" s="40" t="s">
        <v>15</v>
      </c>
      <c r="I13" s="40" t="s">
        <v>16</v>
      </c>
      <c r="J13" s="41"/>
      <c r="K13" s="42"/>
      <c r="L13" s="43"/>
      <c r="M13" s="36"/>
    </row>
    <row r="14" spans="1:14" x14ac:dyDescent="0.2">
      <c r="A14" s="44">
        <v>1</v>
      </c>
      <c r="B14" s="45" t="s">
        <v>17</v>
      </c>
      <c r="C14" s="46" t="s">
        <v>18</v>
      </c>
      <c r="D14" s="47" t="s">
        <v>19</v>
      </c>
      <c r="E14" s="47" t="s">
        <v>19</v>
      </c>
      <c r="F14" s="47" t="s">
        <v>19</v>
      </c>
      <c r="G14" s="48">
        <v>3474948665.75</v>
      </c>
      <c r="H14" s="48">
        <v>22867587469.440002</v>
      </c>
      <c r="I14" s="48">
        <v>4459706380</v>
      </c>
      <c r="J14" s="48">
        <v>30802242515.190002</v>
      </c>
      <c r="K14" s="49">
        <v>145938558407.52002</v>
      </c>
      <c r="L14" s="50">
        <v>0.48999150700911986</v>
      </c>
      <c r="N14" s="51"/>
    </row>
    <row r="15" spans="1:14" x14ac:dyDescent="0.2">
      <c r="A15" s="44">
        <f>A14+1</f>
        <v>2</v>
      </c>
      <c r="B15" s="45" t="s">
        <v>20</v>
      </c>
      <c r="C15" s="46" t="s">
        <v>21</v>
      </c>
      <c r="D15" s="47" t="s">
        <v>19</v>
      </c>
      <c r="E15" s="47" t="s">
        <v>19</v>
      </c>
      <c r="F15" s="47" t="s">
        <v>19</v>
      </c>
      <c r="G15" s="48">
        <v>0</v>
      </c>
      <c r="H15" s="48">
        <v>1764148271.51</v>
      </c>
      <c r="I15" s="48">
        <v>14684890038</v>
      </c>
      <c r="J15" s="48">
        <v>16449038309.51</v>
      </c>
      <c r="K15" s="49">
        <v>51209167282.170006</v>
      </c>
      <c r="L15" s="50">
        <v>0.17193576065898453</v>
      </c>
      <c r="N15" s="51"/>
    </row>
    <row r="16" spans="1:14" x14ac:dyDescent="0.2">
      <c r="A16" s="44">
        <f>+A15+1</f>
        <v>3</v>
      </c>
      <c r="B16" s="45" t="s">
        <v>22</v>
      </c>
      <c r="C16" s="46" t="s">
        <v>23</v>
      </c>
      <c r="D16" s="47" t="s">
        <v>19</v>
      </c>
      <c r="E16" s="47" t="s">
        <v>19</v>
      </c>
      <c r="F16" s="47" t="s">
        <v>19</v>
      </c>
      <c r="G16" s="48">
        <v>4320212654.6499996</v>
      </c>
      <c r="H16" s="48">
        <v>8772823916.0200005</v>
      </c>
      <c r="I16" s="48">
        <v>1678003900</v>
      </c>
      <c r="J16" s="48">
        <v>14771040470.67</v>
      </c>
      <c r="K16" s="49">
        <v>37910917239.300003</v>
      </c>
      <c r="L16" s="50">
        <v>0.12728663125690731</v>
      </c>
      <c r="N16" s="51"/>
    </row>
    <row r="17" spans="1:14" x14ac:dyDescent="0.2">
      <c r="A17" s="44">
        <f>+A16+1</f>
        <v>4</v>
      </c>
      <c r="B17" s="45" t="s">
        <v>24</v>
      </c>
      <c r="C17" s="46" t="s">
        <v>25</v>
      </c>
      <c r="D17" s="47" t="s">
        <v>19</v>
      </c>
      <c r="E17" s="47" t="s">
        <v>19</v>
      </c>
      <c r="F17" s="47" t="s">
        <v>19</v>
      </c>
      <c r="G17" s="48">
        <v>5402597607.8800001</v>
      </c>
      <c r="H17" s="48">
        <v>2194424408.4499998</v>
      </c>
      <c r="I17" s="48">
        <v>0</v>
      </c>
      <c r="J17" s="48">
        <v>7597022016.3299999</v>
      </c>
      <c r="K17" s="49">
        <v>18248008706.34</v>
      </c>
      <c r="L17" s="50">
        <v>6.1268038985057831E-2</v>
      </c>
      <c r="N17" s="51"/>
    </row>
    <row r="18" spans="1:14" x14ac:dyDescent="0.2">
      <c r="A18" s="44">
        <f>+A17+1</f>
        <v>5</v>
      </c>
      <c r="B18" s="45" t="s">
        <v>26</v>
      </c>
      <c r="C18" s="46" t="s">
        <v>27</v>
      </c>
      <c r="D18" s="47" t="s">
        <v>19</v>
      </c>
      <c r="E18" s="47" t="s">
        <v>19</v>
      </c>
      <c r="F18" s="47" t="s">
        <v>19</v>
      </c>
      <c r="G18" s="48">
        <v>4883661125</v>
      </c>
      <c r="H18" s="48">
        <v>786025241.98000002</v>
      </c>
      <c r="I18" s="48">
        <v>2800000</v>
      </c>
      <c r="J18" s="48">
        <v>5672486366.9799995</v>
      </c>
      <c r="K18" s="49">
        <v>12222932413.959999</v>
      </c>
      <c r="L18" s="50">
        <v>4.1038729852756084E-2</v>
      </c>
      <c r="N18" s="51"/>
    </row>
    <row r="19" spans="1:14" x14ac:dyDescent="0.2">
      <c r="A19" s="44">
        <f>+A18+1</f>
        <v>6</v>
      </c>
      <c r="B19" s="45" t="s">
        <v>28</v>
      </c>
      <c r="C19" s="46" t="s">
        <v>29</v>
      </c>
      <c r="D19" s="47" t="s">
        <v>19</v>
      </c>
      <c r="E19" s="47" t="s">
        <v>19</v>
      </c>
      <c r="F19" s="47" t="s">
        <v>19</v>
      </c>
      <c r="G19" s="48">
        <v>0</v>
      </c>
      <c r="H19" s="48">
        <v>2013059317.29</v>
      </c>
      <c r="I19" s="48">
        <v>69370000</v>
      </c>
      <c r="J19" s="48">
        <v>2082429317.29</v>
      </c>
      <c r="K19" s="49">
        <v>6616990821.71</v>
      </c>
      <c r="L19" s="50">
        <v>2.2216673509556386E-2</v>
      </c>
      <c r="N19" s="51"/>
    </row>
    <row r="20" spans="1:14" x14ac:dyDescent="0.2">
      <c r="A20" s="44">
        <f>+A19+1</f>
        <v>7</v>
      </c>
      <c r="B20" s="45" t="s">
        <v>30</v>
      </c>
      <c r="C20" s="46" t="s">
        <v>31</v>
      </c>
      <c r="D20" s="47" t="s">
        <v>19</v>
      </c>
      <c r="E20" s="47" t="s">
        <v>19</v>
      </c>
      <c r="F20" s="47" t="s">
        <v>19</v>
      </c>
      <c r="G20" s="48">
        <v>2000000</v>
      </c>
      <c r="H20" s="48">
        <v>2330774136.1900001</v>
      </c>
      <c r="I20" s="48">
        <v>52800000</v>
      </c>
      <c r="J20" s="48">
        <v>2385574136.1900001</v>
      </c>
      <c r="K20" s="49">
        <v>5796109590.2199993</v>
      </c>
      <c r="L20" s="50">
        <v>1.9460549041270821E-2</v>
      </c>
      <c r="N20" s="51"/>
    </row>
    <row r="21" spans="1:14" x14ac:dyDescent="0.2">
      <c r="A21" s="44">
        <f>+A20+1</f>
        <v>8</v>
      </c>
      <c r="B21" s="45" t="s">
        <v>32</v>
      </c>
      <c r="C21" s="46" t="s">
        <v>33</v>
      </c>
      <c r="D21" s="47" t="s">
        <v>19</v>
      </c>
      <c r="E21" s="47" t="s">
        <v>19</v>
      </c>
      <c r="F21" s="47" t="s">
        <v>19</v>
      </c>
      <c r="G21" s="48">
        <v>0</v>
      </c>
      <c r="H21" s="48">
        <v>824796624.13999999</v>
      </c>
      <c r="I21" s="48">
        <v>492685650</v>
      </c>
      <c r="J21" s="48">
        <v>1317482274.1399999</v>
      </c>
      <c r="K21" s="49">
        <v>4269767396.6999998</v>
      </c>
      <c r="L21" s="50">
        <v>1.4335825871633618E-2</v>
      </c>
      <c r="N21" s="51"/>
    </row>
    <row r="22" spans="1:14" s="6" customFormat="1" x14ac:dyDescent="0.2">
      <c r="A22" s="44">
        <f>+A21+1</f>
        <v>9</v>
      </c>
      <c r="B22" s="45" t="s">
        <v>34</v>
      </c>
      <c r="C22" s="46" t="s">
        <v>35</v>
      </c>
      <c r="D22" s="47" t="s">
        <v>19</v>
      </c>
      <c r="E22" s="47" t="s">
        <v>19</v>
      </c>
      <c r="F22" s="52" t="s">
        <v>19</v>
      </c>
      <c r="G22" s="48">
        <v>1275201426</v>
      </c>
      <c r="H22" s="48">
        <v>335490466.44</v>
      </c>
      <c r="I22" s="48">
        <v>0</v>
      </c>
      <c r="J22" s="48">
        <v>1610691892.4400001</v>
      </c>
      <c r="K22" s="49">
        <v>3118861447.0700002</v>
      </c>
      <c r="L22" s="50">
        <v>1.0471637086718864E-2</v>
      </c>
      <c r="M22" s="1"/>
      <c r="N22" s="51"/>
    </row>
    <row r="23" spans="1:14" x14ac:dyDescent="0.2">
      <c r="A23" s="44">
        <f>+A22+1</f>
        <v>10</v>
      </c>
      <c r="B23" s="45" t="s">
        <v>36</v>
      </c>
      <c r="C23" s="46" t="s">
        <v>37</v>
      </c>
      <c r="D23" s="47" t="s">
        <v>19</v>
      </c>
      <c r="E23" s="47"/>
      <c r="F23" s="52"/>
      <c r="G23" s="48">
        <v>0</v>
      </c>
      <c r="H23" s="48">
        <v>1944187278.9300001</v>
      </c>
      <c r="I23" s="48">
        <v>0</v>
      </c>
      <c r="J23" s="48">
        <v>1944187278.9300001</v>
      </c>
      <c r="K23" s="49">
        <v>2184252369.7200003</v>
      </c>
      <c r="L23" s="50">
        <v>7.3336691961745099E-3</v>
      </c>
      <c r="N23" s="51"/>
    </row>
    <row r="24" spans="1:14" x14ac:dyDescent="0.2">
      <c r="A24" s="44">
        <f>+A23+1</f>
        <v>11</v>
      </c>
      <c r="B24" s="45" t="s">
        <v>38</v>
      </c>
      <c r="C24" s="46" t="s">
        <v>39</v>
      </c>
      <c r="D24" s="47" t="s">
        <v>19</v>
      </c>
      <c r="E24" s="47" t="s">
        <v>19</v>
      </c>
      <c r="F24" s="47" t="s">
        <v>19</v>
      </c>
      <c r="G24" s="48">
        <v>0</v>
      </c>
      <c r="H24" s="48">
        <v>654938388.5</v>
      </c>
      <c r="I24" s="48">
        <v>0</v>
      </c>
      <c r="J24" s="48">
        <v>654938388.5</v>
      </c>
      <c r="K24" s="49">
        <v>1806954782.5999999</v>
      </c>
      <c r="L24" s="50">
        <v>6.0668853158815867E-3</v>
      </c>
      <c r="N24" s="51"/>
    </row>
    <row r="25" spans="1:14" x14ac:dyDescent="0.2">
      <c r="A25" s="44">
        <f>+A24+1</f>
        <v>12</v>
      </c>
      <c r="B25" s="45" t="s">
        <v>40</v>
      </c>
      <c r="C25" s="46" t="s">
        <v>41</v>
      </c>
      <c r="D25" s="47" t="s">
        <v>19</v>
      </c>
      <c r="E25" s="47" t="s">
        <v>19</v>
      </c>
      <c r="F25" s="47" t="s">
        <v>19</v>
      </c>
      <c r="G25" s="48">
        <v>0</v>
      </c>
      <c r="H25" s="48">
        <v>771699597.18999994</v>
      </c>
      <c r="I25" s="48">
        <v>0</v>
      </c>
      <c r="J25" s="48">
        <v>771699597.18999994</v>
      </c>
      <c r="K25" s="49">
        <v>1643372193.48</v>
      </c>
      <c r="L25" s="50">
        <v>5.5176536375780398E-3</v>
      </c>
      <c r="M25" s="6"/>
      <c r="N25" s="51"/>
    </row>
    <row r="26" spans="1:14" x14ac:dyDescent="0.2">
      <c r="A26" s="44">
        <f>+A25+1</f>
        <v>13</v>
      </c>
      <c r="B26" s="45" t="s">
        <v>42</v>
      </c>
      <c r="C26" s="46" t="s">
        <v>43</v>
      </c>
      <c r="D26" s="47" t="s">
        <v>19</v>
      </c>
      <c r="E26" s="47" t="s">
        <v>19</v>
      </c>
      <c r="F26" s="52"/>
      <c r="G26" s="48">
        <v>0</v>
      </c>
      <c r="H26" s="48">
        <v>532263843.03999996</v>
      </c>
      <c r="I26" s="48">
        <v>186210000</v>
      </c>
      <c r="J26" s="48">
        <v>718473843.03999996</v>
      </c>
      <c r="K26" s="49">
        <v>1479879437.0799999</v>
      </c>
      <c r="L26" s="50">
        <v>4.9687235743536865E-3</v>
      </c>
      <c r="N26" s="51"/>
    </row>
    <row r="27" spans="1:14" x14ac:dyDescent="0.2">
      <c r="A27" s="44">
        <f>+A26+1</f>
        <v>14</v>
      </c>
      <c r="B27" s="45" t="s">
        <v>44</v>
      </c>
      <c r="C27" s="46" t="s">
        <v>45</v>
      </c>
      <c r="D27" s="47" t="s">
        <v>19</v>
      </c>
      <c r="E27" s="47" t="s">
        <v>19</v>
      </c>
      <c r="F27" s="52" t="s">
        <v>19</v>
      </c>
      <c r="G27" s="48">
        <v>0</v>
      </c>
      <c r="H27" s="48">
        <v>12434559.370000001</v>
      </c>
      <c r="I27" s="48">
        <v>2800000</v>
      </c>
      <c r="J27" s="48">
        <v>15234559.370000001</v>
      </c>
      <c r="K27" s="49">
        <v>1362009941.8099999</v>
      </c>
      <c r="L27" s="50">
        <v>4.5729744848191992E-3</v>
      </c>
      <c r="N27" s="51"/>
    </row>
    <row r="28" spans="1:14" x14ac:dyDescent="0.2">
      <c r="A28" s="44">
        <f>+A27+1</f>
        <v>15</v>
      </c>
      <c r="B28" s="45" t="s">
        <v>46</v>
      </c>
      <c r="C28" s="46" t="s">
        <v>47</v>
      </c>
      <c r="D28" s="47" t="s">
        <v>19</v>
      </c>
      <c r="E28" s="47" t="s">
        <v>19</v>
      </c>
      <c r="F28" s="47" t="s">
        <v>19</v>
      </c>
      <c r="G28" s="48">
        <v>0</v>
      </c>
      <c r="H28" s="48">
        <v>277112918.07999998</v>
      </c>
      <c r="I28" s="48">
        <v>0</v>
      </c>
      <c r="J28" s="48">
        <v>277112918.07999998</v>
      </c>
      <c r="K28" s="49">
        <v>1269529183.2</v>
      </c>
      <c r="L28" s="50">
        <v>4.2624685652381446E-3</v>
      </c>
      <c r="N28" s="51"/>
    </row>
    <row r="29" spans="1:14" x14ac:dyDescent="0.2">
      <c r="A29" s="44">
        <f>+A28+1</f>
        <v>16</v>
      </c>
      <c r="B29" s="45" t="s">
        <v>48</v>
      </c>
      <c r="C29" s="46" t="s">
        <v>49</v>
      </c>
      <c r="D29" s="47" t="s">
        <v>19</v>
      </c>
      <c r="E29" s="52"/>
      <c r="F29" s="52"/>
      <c r="G29" s="48">
        <v>0</v>
      </c>
      <c r="H29" s="48">
        <v>247114800.04000002</v>
      </c>
      <c r="I29" s="48">
        <v>0</v>
      </c>
      <c r="J29" s="48">
        <v>247114800.04000002</v>
      </c>
      <c r="K29" s="49">
        <v>539109959.09000003</v>
      </c>
      <c r="L29" s="50">
        <v>1.8100720205861804E-3</v>
      </c>
      <c r="N29" s="51"/>
    </row>
    <row r="30" spans="1:14" x14ac:dyDescent="0.2">
      <c r="A30" s="44">
        <f>+A29+1</f>
        <v>17</v>
      </c>
      <c r="B30" s="45" t="s">
        <v>50</v>
      </c>
      <c r="C30" s="46" t="s">
        <v>51</v>
      </c>
      <c r="D30" s="47" t="s">
        <v>19</v>
      </c>
      <c r="E30" s="47" t="s">
        <v>19</v>
      </c>
      <c r="F30" s="52" t="s">
        <v>19</v>
      </c>
      <c r="G30" s="48">
        <v>0</v>
      </c>
      <c r="H30" s="48">
        <v>136102858.44</v>
      </c>
      <c r="I30" s="48">
        <v>0</v>
      </c>
      <c r="J30" s="48">
        <v>136102858.44</v>
      </c>
      <c r="K30" s="49">
        <v>462072646.34999996</v>
      </c>
      <c r="L30" s="50">
        <v>1.5514177665130471E-3</v>
      </c>
      <c r="N30" s="51"/>
    </row>
    <row r="31" spans="1:14" x14ac:dyDescent="0.2">
      <c r="A31" s="44">
        <f>+A30+1</f>
        <v>18</v>
      </c>
      <c r="B31" s="45" t="s">
        <v>52</v>
      </c>
      <c r="C31" s="46" t="s">
        <v>53</v>
      </c>
      <c r="D31" s="47" t="s">
        <v>19</v>
      </c>
      <c r="E31" s="47" t="s">
        <v>19</v>
      </c>
      <c r="F31" s="47" t="s">
        <v>19</v>
      </c>
      <c r="G31" s="48">
        <v>0</v>
      </c>
      <c r="H31" s="48">
        <v>288329437</v>
      </c>
      <c r="I31" s="48">
        <v>0</v>
      </c>
      <c r="J31" s="48">
        <v>288329437</v>
      </c>
      <c r="K31" s="49">
        <v>348915266.94999999</v>
      </c>
      <c r="L31" s="50">
        <v>1.1714896963276446E-3</v>
      </c>
      <c r="N31" s="51"/>
    </row>
    <row r="32" spans="1:14" x14ac:dyDescent="0.2">
      <c r="A32" s="44">
        <f>+A31+1</f>
        <v>19</v>
      </c>
      <c r="B32" s="45" t="s">
        <v>54</v>
      </c>
      <c r="C32" s="46" t="s">
        <v>55</v>
      </c>
      <c r="D32" s="47" t="s">
        <v>19</v>
      </c>
      <c r="E32" s="47" t="s">
        <v>19</v>
      </c>
      <c r="F32" s="47" t="s">
        <v>19</v>
      </c>
      <c r="G32" s="48">
        <v>0</v>
      </c>
      <c r="H32" s="48">
        <v>147973049.05000001</v>
      </c>
      <c r="I32" s="48">
        <v>1300000</v>
      </c>
      <c r="J32" s="48">
        <v>149273049.05000001</v>
      </c>
      <c r="K32" s="49">
        <v>294658538.49000001</v>
      </c>
      <c r="L32" s="50">
        <v>9.8932169060250317E-4</v>
      </c>
      <c r="N32" s="51"/>
    </row>
    <row r="33" spans="1:14" x14ac:dyDescent="0.2">
      <c r="A33" s="44">
        <f>+A32+1</f>
        <v>20</v>
      </c>
      <c r="B33" s="45" t="s">
        <v>56</v>
      </c>
      <c r="C33" s="46" t="s">
        <v>57</v>
      </c>
      <c r="D33" s="47" t="s">
        <v>19</v>
      </c>
      <c r="E33" s="52"/>
      <c r="F33" s="52"/>
      <c r="G33" s="48">
        <v>0</v>
      </c>
      <c r="H33" s="48">
        <v>61979730.810000002</v>
      </c>
      <c r="I33" s="48">
        <v>0</v>
      </c>
      <c r="J33" s="48">
        <v>61979730.810000002</v>
      </c>
      <c r="K33" s="49">
        <v>153607262.74000001</v>
      </c>
      <c r="L33" s="50">
        <v>5.1573932878892998E-4</v>
      </c>
      <c r="N33" s="51"/>
    </row>
    <row r="34" spans="1:14" x14ac:dyDescent="0.2">
      <c r="A34" s="44">
        <f>+A33+1</f>
        <v>21</v>
      </c>
      <c r="B34" s="45" t="s">
        <v>58</v>
      </c>
      <c r="C34" s="46" t="s">
        <v>59</v>
      </c>
      <c r="D34" s="47" t="s">
        <v>19</v>
      </c>
      <c r="E34" s="47" t="s">
        <v>19</v>
      </c>
      <c r="F34" s="47" t="s">
        <v>19</v>
      </c>
      <c r="G34" s="48">
        <v>0</v>
      </c>
      <c r="H34" s="48">
        <v>18454881.969999999</v>
      </c>
      <c r="I34" s="48">
        <v>0</v>
      </c>
      <c r="J34" s="48">
        <v>18454881.969999999</v>
      </c>
      <c r="K34" s="49">
        <v>143917139.48000002</v>
      </c>
      <c r="L34" s="50">
        <v>4.8320455421610632E-4</v>
      </c>
      <c r="N34" s="51"/>
    </row>
    <row r="35" spans="1:14" x14ac:dyDescent="0.2">
      <c r="A35" s="44">
        <f>+A34+1</f>
        <v>22</v>
      </c>
      <c r="B35" s="45" t="s">
        <v>60</v>
      </c>
      <c r="C35" s="46" t="s">
        <v>61</v>
      </c>
      <c r="D35" s="47" t="s">
        <v>19</v>
      </c>
      <c r="E35" s="52"/>
      <c r="F35" s="52"/>
      <c r="G35" s="48">
        <v>0</v>
      </c>
      <c r="H35" s="48">
        <v>92722638.199999988</v>
      </c>
      <c r="I35" s="48">
        <v>0</v>
      </c>
      <c r="J35" s="48">
        <v>92722638.199999988</v>
      </c>
      <c r="K35" s="49">
        <v>138832439.92999998</v>
      </c>
      <c r="L35" s="50">
        <v>4.6613257802023396E-4</v>
      </c>
      <c r="N35" s="51"/>
    </row>
    <row r="36" spans="1:14" x14ac:dyDescent="0.2">
      <c r="A36" s="44">
        <f>+A35+1</f>
        <v>23</v>
      </c>
      <c r="B36" s="45" t="s">
        <v>62</v>
      </c>
      <c r="C36" s="46" t="s">
        <v>63</v>
      </c>
      <c r="D36" s="47" t="s">
        <v>19</v>
      </c>
      <c r="E36" s="52"/>
      <c r="F36" s="52"/>
      <c r="G36" s="48">
        <v>0</v>
      </c>
      <c r="H36" s="48">
        <v>34662875.340000004</v>
      </c>
      <c r="I36" s="48">
        <v>0</v>
      </c>
      <c r="J36" s="48">
        <v>34662875.340000004</v>
      </c>
      <c r="K36" s="49">
        <v>119586373.83000001</v>
      </c>
      <c r="L36" s="50">
        <v>4.0151354220652825E-4</v>
      </c>
      <c r="N36" s="51"/>
    </row>
    <row r="37" spans="1:14" x14ac:dyDescent="0.2">
      <c r="A37" s="44">
        <f>+A36+1</f>
        <v>24</v>
      </c>
      <c r="B37" s="45" t="s">
        <v>64</v>
      </c>
      <c r="C37" s="46" t="s">
        <v>65</v>
      </c>
      <c r="D37" s="47" t="s">
        <v>19</v>
      </c>
      <c r="E37" s="52"/>
      <c r="F37" s="52"/>
      <c r="G37" s="48">
        <v>0</v>
      </c>
      <c r="H37" s="48">
        <v>32377470.399999999</v>
      </c>
      <c r="I37" s="48">
        <v>0</v>
      </c>
      <c r="J37" s="48">
        <v>32377470.399999999</v>
      </c>
      <c r="K37" s="49">
        <v>78562513.909999996</v>
      </c>
      <c r="L37" s="50">
        <v>2.6377514623443233E-4</v>
      </c>
      <c r="N37" s="51"/>
    </row>
    <row r="38" spans="1:14" x14ac:dyDescent="0.2">
      <c r="A38" s="44">
        <f>+A37+1</f>
        <v>25</v>
      </c>
      <c r="B38" s="45" t="s">
        <v>66</v>
      </c>
      <c r="C38" s="46" t="s">
        <v>67</v>
      </c>
      <c r="D38" s="47" t="s">
        <v>19</v>
      </c>
      <c r="E38" s="52"/>
      <c r="F38" s="52"/>
      <c r="G38" s="48">
        <v>0</v>
      </c>
      <c r="H38" s="48">
        <v>6413118</v>
      </c>
      <c r="I38" s="48">
        <v>0</v>
      </c>
      <c r="J38" s="48">
        <v>6413118</v>
      </c>
      <c r="K38" s="49">
        <v>71166711</v>
      </c>
      <c r="L38" s="50">
        <v>2.3894359621120969E-4</v>
      </c>
      <c r="N38" s="51"/>
    </row>
    <row r="39" spans="1:14" x14ac:dyDescent="0.2">
      <c r="A39" s="44">
        <f>+A38+1</f>
        <v>26</v>
      </c>
      <c r="B39" s="45" t="s">
        <v>68</v>
      </c>
      <c r="C39" s="46" t="s">
        <v>69</v>
      </c>
      <c r="D39" s="47" t="s">
        <v>19</v>
      </c>
      <c r="E39" s="52"/>
      <c r="F39" s="52"/>
      <c r="G39" s="48">
        <v>0</v>
      </c>
      <c r="H39" s="48">
        <v>34124440.560000002</v>
      </c>
      <c r="I39" s="48">
        <v>0</v>
      </c>
      <c r="J39" s="48">
        <v>34124440.560000002</v>
      </c>
      <c r="K39" s="49">
        <v>70375367.799999997</v>
      </c>
      <c r="L39" s="50">
        <v>2.3628664624979746E-4</v>
      </c>
      <c r="N39" s="51"/>
    </row>
    <row r="40" spans="1:14" x14ac:dyDescent="0.2">
      <c r="A40" s="44">
        <f>+A39+1</f>
        <v>27</v>
      </c>
      <c r="B40" s="45" t="s">
        <v>70</v>
      </c>
      <c r="C40" s="46" t="s">
        <v>71</v>
      </c>
      <c r="D40" s="47" t="s">
        <v>19</v>
      </c>
      <c r="E40" s="52"/>
      <c r="F40" s="52"/>
      <c r="G40" s="48">
        <v>0</v>
      </c>
      <c r="H40" s="48">
        <v>2460291</v>
      </c>
      <c r="I40" s="48">
        <v>0</v>
      </c>
      <c r="J40" s="48">
        <v>2460291</v>
      </c>
      <c r="K40" s="49">
        <v>68881928</v>
      </c>
      <c r="L40" s="50">
        <v>2.312723934970329E-4</v>
      </c>
      <c r="N40" s="51"/>
    </row>
    <row r="41" spans="1:14" x14ac:dyDescent="0.2">
      <c r="A41" s="44">
        <f>+A40+1</f>
        <v>28</v>
      </c>
      <c r="B41" s="45" t="s">
        <v>72</v>
      </c>
      <c r="C41" s="46" t="s">
        <v>73</v>
      </c>
      <c r="D41" s="47" t="s">
        <v>19</v>
      </c>
      <c r="E41" s="52"/>
      <c r="F41" s="52"/>
      <c r="G41" s="48">
        <v>0</v>
      </c>
      <c r="H41" s="48">
        <v>5995527</v>
      </c>
      <c r="I41" s="48">
        <v>0</v>
      </c>
      <c r="J41" s="48">
        <v>5995527</v>
      </c>
      <c r="K41" s="49">
        <v>67171799.340000004</v>
      </c>
      <c r="L41" s="50">
        <v>2.2553060374361496E-4</v>
      </c>
      <c r="N41" s="51"/>
    </row>
    <row r="42" spans="1:14" x14ac:dyDescent="0.2">
      <c r="A42" s="44">
        <f>+A41+1</f>
        <v>29</v>
      </c>
      <c r="B42" s="45" t="s">
        <v>74</v>
      </c>
      <c r="C42" s="46" t="s">
        <v>75</v>
      </c>
      <c r="D42" s="47" t="s">
        <v>19</v>
      </c>
      <c r="E42" s="52"/>
      <c r="F42" s="52"/>
      <c r="G42" s="48">
        <v>0</v>
      </c>
      <c r="H42" s="48">
        <v>30769202.969999999</v>
      </c>
      <c r="I42" s="48">
        <v>0</v>
      </c>
      <c r="J42" s="48">
        <v>30769202.969999999</v>
      </c>
      <c r="K42" s="49">
        <v>61320856.340000004</v>
      </c>
      <c r="L42" s="50">
        <v>2.0588595047803403E-4</v>
      </c>
      <c r="N42" s="51"/>
    </row>
    <row r="43" spans="1:14" x14ac:dyDescent="0.2">
      <c r="A43" s="44">
        <f>+A42+1</f>
        <v>30</v>
      </c>
      <c r="B43" s="45" t="s">
        <v>76</v>
      </c>
      <c r="C43" s="46" t="s">
        <v>77</v>
      </c>
      <c r="D43" s="47" t="s">
        <v>19</v>
      </c>
      <c r="E43" s="47" t="s">
        <v>19</v>
      </c>
      <c r="F43" s="52"/>
      <c r="G43" s="48">
        <v>0</v>
      </c>
      <c r="H43" s="48">
        <v>7122434.29</v>
      </c>
      <c r="I43" s="48">
        <v>0</v>
      </c>
      <c r="J43" s="48">
        <v>7122434.29</v>
      </c>
      <c r="K43" s="49">
        <v>48009798.530000001</v>
      </c>
      <c r="L43" s="50">
        <v>1.6119381875233561E-4</v>
      </c>
      <c r="N43" s="51"/>
    </row>
    <row r="44" spans="1:14" x14ac:dyDescent="0.2">
      <c r="A44" s="44">
        <f>+A43+1</f>
        <v>31</v>
      </c>
      <c r="B44" s="45" t="s">
        <v>78</v>
      </c>
      <c r="C44" s="46" t="s">
        <v>79</v>
      </c>
      <c r="D44" s="47" t="s">
        <v>19</v>
      </c>
      <c r="E44" s="52"/>
      <c r="F44" s="52"/>
      <c r="G44" s="48">
        <v>0</v>
      </c>
      <c r="H44" s="48">
        <v>4467850.12</v>
      </c>
      <c r="I44" s="48">
        <v>0</v>
      </c>
      <c r="J44" s="48">
        <v>4467850.12</v>
      </c>
      <c r="K44" s="49">
        <v>27044285.450000003</v>
      </c>
      <c r="L44" s="50">
        <v>9.0801706747210709E-5</v>
      </c>
      <c r="N44" s="51"/>
    </row>
    <row r="45" spans="1:14" x14ac:dyDescent="0.2">
      <c r="A45" s="44">
        <f>+A44+1</f>
        <v>32</v>
      </c>
      <c r="B45" s="45" t="s">
        <v>80</v>
      </c>
      <c r="C45" s="46" t="s">
        <v>81</v>
      </c>
      <c r="D45" s="47" t="s">
        <v>19</v>
      </c>
      <c r="E45" s="52"/>
      <c r="F45" s="52"/>
      <c r="G45" s="48">
        <v>0</v>
      </c>
      <c r="H45" s="48">
        <v>3579379</v>
      </c>
      <c r="I45" s="48">
        <v>0</v>
      </c>
      <c r="J45" s="48">
        <v>3579379</v>
      </c>
      <c r="K45" s="49">
        <v>21845152</v>
      </c>
      <c r="L45" s="50">
        <v>7.3345516538771903E-5</v>
      </c>
      <c r="N45" s="51"/>
    </row>
    <row r="46" spans="1:14" x14ac:dyDescent="0.2">
      <c r="A46" s="44">
        <f>+A45+1</f>
        <v>33</v>
      </c>
      <c r="B46" s="45" t="s">
        <v>82</v>
      </c>
      <c r="C46" s="46" t="s">
        <v>83</v>
      </c>
      <c r="D46" s="47" t="s">
        <v>19</v>
      </c>
      <c r="E46" s="47" t="s">
        <v>19</v>
      </c>
      <c r="F46" s="47" t="s">
        <v>19</v>
      </c>
      <c r="G46" s="48">
        <v>0</v>
      </c>
      <c r="H46" s="48">
        <v>5696420.6699999999</v>
      </c>
      <c r="I46" s="48">
        <v>0</v>
      </c>
      <c r="J46" s="48">
        <v>5696420.6699999999</v>
      </c>
      <c r="K46" s="49">
        <v>12596966.609999999</v>
      </c>
      <c r="L46" s="50">
        <v>4.2294556834949575E-5</v>
      </c>
      <c r="N46" s="51"/>
    </row>
    <row r="47" spans="1:14" x14ac:dyDescent="0.2">
      <c r="A47" s="44">
        <f>+A46+1</f>
        <v>34</v>
      </c>
      <c r="B47" s="45" t="s">
        <v>84</v>
      </c>
      <c r="C47" s="46" t="s">
        <v>85</v>
      </c>
      <c r="D47" s="47" t="s">
        <v>19</v>
      </c>
      <c r="E47" s="52"/>
      <c r="F47" s="52"/>
      <c r="G47" s="48">
        <v>0</v>
      </c>
      <c r="H47" s="48">
        <v>4327490.5</v>
      </c>
      <c r="I47" s="48">
        <v>0</v>
      </c>
      <c r="J47" s="48">
        <v>4327490.5</v>
      </c>
      <c r="K47" s="49">
        <v>11116992.5</v>
      </c>
      <c r="L47" s="50">
        <v>3.7325515394452423E-5</v>
      </c>
      <c r="N47" s="51"/>
    </row>
    <row r="48" spans="1:14" x14ac:dyDescent="0.2">
      <c r="A48" s="44">
        <f>+A47+1</f>
        <v>35</v>
      </c>
      <c r="B48" s="45" t="s">
        <v>86</v>
      </c>
      <c r="C48" s="46" t="s">
        <v>87</v>
      </c>
      <c r="D48" s="47" t="s">
        <v>19</v>
      </c>
      <c r="E48" s="47" t="s">
        <v>19</v>
      </c>
      <c r="F48" s="52"/>
      <c r="G48" s="48">
        <v>0</v>
      </c>
      <c r="H48" s="48">
        <v>6340800</v>
      </c>
      <c r="I48" s="48">
        <v>0</v>
      </c>
      <c r="J48" s="48">
        <v>6340800</v>
      </c>
      <c r="K48" s="49">
        <v>6340800</v>
      </c>
      <c r="L48" s="50">
        <v>2.1289357532007325E-5</v>
      </c>
      <c r="N48" s="51"/>
    </row>
    <row r="49" spans="1:14" x14ac:dyDescent="0.2">
      <c r="A49" s="44">
        <f>+A48+1</f>
        <v>36</v>
      </c>
      <c r="B49" s="53" t="s">
        <v>88</v>
      </c>
      <c r="C49" s="46" t="s">
        <v>89</v>
      </c>
      <c r="D49" s="47" t="s">
        <v>19</v>
      </c>
      <c r="E49" s="47"/>
      <c r="F49" s="47"/>
      <c r="G49" s="48">
        <v>0</v>
      </c>
      <c r="H49" s="48">
        <v>3237623.1</v>
      </c>
      <c r="I49" s="48">
        <v>0</v>
      </c>
      <c r="J49" s="48">
        <v>3237623.1</v>
      </c>
      <c r="K49" s="49">
        <v>6279848.0999999996</v>
      </c>
      <c r="L49" s="50">
        <v>2.1084710359512501E-5</v>
      </c>
      <c r="N49" s="51"/>
    </row>
    <row r="50" spans="1:14" x14ac:dyDescent="0.2">
      <c r="A50" s="44">
        <f>+A49+1</f>
        <v>37</v>
      </c>
      <c r="B50" s="45" t="s">
        <v>90</v>
      </c>
      <c r="C50" s="46" t="s">
        <v>91</v>
      </c>
      <c r="D50" s="47" t="s">
        <v>19</v>
      </c>
      <c r="E50" s="52"/>
      <c r="F50" s="52"/>
      <c r="G50" s="48">
        <v>0</v>
      </c>
      <c r="H50" s="48">
        <v>683465.84</v>
      </c>
      <c r="I50" s="48">
        <v>0</v>
      </c>
      <c r="J50" s="48">
        <v>683465.84</v>
      </c>
      <c r="K50" s="49">
        <v>5684680.2299999995</v>
      </c>
      <c r="L50" s="50">
        <v>1.908642282860264E-5</v>
      </c>
      <c r="N50" s="51"/>
    </row>
    <row r="51" spans="1:14" x14ac:dyDescent="0.2">
      <c r="A51" s="44">
        <f>+A50+1</f>
        <v>38</v>
      </c>
      <c r="B51" s="45" t="s">
        <v>92</v>
      </c>
      <c r="C51" s="46" t="s">
        <v>93</v>
      </c>
      <c r="D51" s="47" t="s">
        <v>19</v>
      </c>
      <c r="E51" s="47"/>
      <c r="F51" s="52"/>
      <c r="G51" s="48">
        <v>0</v>
      </c>
      <c r="H51" s="48">
        <v>1504727.81</v>
      </c>
      <c r="I51" s="48">
        <v>0</v>
      </c>
      <c r="J51" s="48">
        <v>1504727.81</v>
      </c>
      <c r="K51" s="49">
        <v>3168024.59</v>
      </c>
      <c r="L51" s="50">
        <v>1.0636703281399967E-5</v>
      </c>
      <c r="N51" s="51"/>
    </row>
    <row r="52" spans="1:14" s="54" customFormat="1" x14ac:dyDescent="0.2">
      <c r="A52" s="44">
        <f>+A51+1</f>
        <v>39</v>
      </c>
      <c r="B52" s="45" t="s">
        <v>94</v>
      </c>
      <c r="C52" s="46" t="s">
        <v>95</v>
      </c>
      <c r="D52" s="47" t="s">
        <v>19</v>
      </c>
      <c r="E52" s="52"/>
      <c r="F52" s="52"/>
      <c r="G52" s="48">
        <v>0</v>
      </c>
      <c r="H52" s="48">
        <v>0</v>
      </c>
      <c r="I52" s="48">
        <v>0</v>
      </c>
      <c r="J52" s="48">
        <v>0</v>
      </c>
      <c r="K52" s="49">
        <v>1273010</v>
      </c>
      <c r="L52" s="50">
        <v>4.2741554743598041E-6</v>
      </c>
      <c r="M52" s="1"/>
      <c r="N52" s="51"/>
    </row>
    <row r="53" spans="1:14" x14ac:dyDescent="0.2">
      <c r="A53" s="44">
        <f>+A52+1</f>
        <v>40</v>
      </c>
      <c r="B53" s="45" t="s">
        <v>96</v>
      </c>
      <c r="C53" s="46" t="s">
        <v>97</v>
      </c>
      <c r="D53" s="47" t="s">
        <v>19</v>
      </c>
      <c r="E53" s="52"/>
      <c r="F53" s="52"/>
      <c r="G53" s="48">
        <v>0</v>
      </c>
      <c r="H53" s="48">
        <v>103500</v>
      </c>
      <c r="I53" s="48">
        <v>0</v>
      </c>
      <c r="J53" s="48">
        <v>103500</v>
      </c>
      <c r="K53" s="49">
        <v>103500</v>
      </c>
      <c r="L53" s="50">
        <v>3.4750323375011955E-7</v>
      </c>
      <c r="N53" s="51"/>
    </row>
    <row r="54" spans="1:14" x14ac:dyDescent="0.2">
      <c r="A54" s="44">
        <f>+A53+1</f>
        <v>41</v>
      </c>
      <c r="B54" s="45" t="s">
        <v>98</v>
      </c>
      <c r="C54" s="46" t="s">
        <v>99</v>
      </c>
      <c r="D54" s="47" t="s">
        <v>19</v>
      </c>
      <c r="E54" s="52"/>
      <c r="F54" s="52"/>
      <c r="G54" s="48">
        <v>0</v>
      </c>
      <c r="H54" s="48">
        <v>0</v>
      </c>
      <c r="I54" s="48">
        <v>0</v>
      </c>
      <c r="J54" s="48">
        <v>0</v>
      </c>
      <c r="K54" s="49">
        <v>1928</v>
      </c>
      <c r="L54" s="50">
        <v>6.4732969533355601E-9</v>
      </c>
      <c r="N54" s="51"/>
    </row>
    <row r="55" spans="1:14" x14ac:dyDescent="0.2">
      <c r="A55" s="44">
        <f>+A54+1</f>
        <v>42</v>
      </c>
      <c r="B55" s="45" t="s">
        <v>100</v>
      </c>
      <c r="C55" s="46" t="s">
        <v>101</v>
      </c>
      <c r="D55" s="47" t="s">
        <v>19</v>
      </c>
      <c r="E55" s="52"/>
      <c r="F55" s="52"/>
      <c r="G55" s="48">
        <v>0</v>
      </c>
      <c r="H55" s="48">
        <v>0</v>
      </c>
      <c r="I55" s="48">
        <v>0</v>
      </c>
      <c r="J55" s="48">
        <v>0</v>
      </c>
      <c r="K55" s="49">
        <v>0</v>
      </c>
      <c r="L55" s="50">
        <v>0</v>
      </c>
      <c r="M55" s="54"/>
      <c r="N55" s="51"/>
    </row>
    <row r="56" spans="1:14" x14ac:dyDescent="0.2">
      <c r="A56" s="44">
        <f>+A55+1</f>
        <v>43</v>
      </c>
      <c r="B56" s="45" t="s">
        <v>102</v>
      </c>
      <c r="C56" s="46" t="s">
        <v>103</v>
      </c>
      <c r="D56" s="47" t="s">
        <v>19</v>
      </c>
      <c r="E56" s="47"/>
      <c r="F56" s="52"/>
      <c r="G56" s="48">
        <v>0</v>
      </c>
      <c r="H56" s="48">
        <v>0</v>
      </c>
      <c r="I56" s="48">
        <v>0</v>
      </c>
      <c r="J56" s="48">
        <v>0</v>
      </c>
      <c r="K56" s="49">
        <v>0</v>
      </c>
      <c r="L56" s="50">
        <v>0</v>
      </c>
      <c r="N56" s="51"/>
    </row>
    <row r="57" spans="1:14" x14ac:dyDescent="0.2">
      <c r="A57" s="44">
        <f>+A56+1</f>
        <v>44</v>
      </c>
      <c r="B57" s="45" t="s">
        <v>104</v>
      </c>
      <c r="C57" s="46" t="s">
        <v>105</v>
      </c>
      <c r="D57" s="47" t="s">
        <v>19</v>
      </c>
      <c r="E57" s="52"/>
      <c r="F57" s="47" t="s">
        <v>19</v>
      </c>
      <c r="G57" s="48">
        <v>0</v>
      </c>
      <c r="H57" s="48">
        <v>0</v>
      </c>
      <c r="I57" s="48">
        <v>0</v>
      </c>
      <c r="J57" s="48">
        <v>0</v>
      </c>
      <c r="K57" s="49">
        <v>0</v>
      </c>
      <c r="L57" s="50">
        <v>0</v>
      </c>
      <c r="N57" s="51"/>
    </row>
    <row r="58" spans="1:14" x14ac:dyDescent="0.2">
      <c r="A58" s="44">
        <f>+A57+1</f>
        <v>45</v>
      </c>
      <c r="B58" s="45" t="s">
        <v>106</v>
      </c>
      <c r="C58" s="46" t="s">
        <v>107</v>
      </c>
      <c r="D58" s="47" t="s">
        <v>19</v>
      </c>
      <c r="E58" s="52"/>
      <c r="F58" s="52"/>
      <c r="G58" s="48">
        <v>0</v>
      </c>
      <c r="H58" s="48">
        <v>0</v>
      </c>
      <c r="I58" s="48">
        <v>0</v>
      </c>
      <c r="J58" s="48">
        <v>0</v>
      </c>
      <c r="K58" s="49">
        <v>0</v>
      </c>
      <c r="L58" s="50">
        <v>0</v>
      </c>
      <c r="N58" s="51"/>
    </row>
    <row r="59" spans="1:14" x14ac:dyDescent="0.2">
      <c r="A59" s="44">
        <f>+A58+1</f>
        <v>46</v>
      </c>
      <c r="B59" s="45" t="s">
        <v>108</v>
      </c>
      <c r="C59" s="46" t="s">
        <v>109</v>
      </c>
      <c r="D59" s="47" t="s">
        <v>19</v>
      </c>
      <c r="E59" s="47"/>
      <c r="F59" s="52"/>
      <c r="G59" s="48">
        <v>0</v>
      </c>
      <c r="H59" s="48">
        <v>0</v>
      </c>
      <c r="I59" s="48">
        <v>0</v>
      </c>
      <c r="J59" s="48">
        <v>0</v>
      </c>
      <c r="K59" s="49">
        <v>0</v>
      </c>
      <c r="L59" s="50">
        <v>0</v>
      </c>
      <c r="N59" s="51"/>
    </row>
    <row r="60" spans="1:14" x14ac:dyDescent="0.2">
      <c r="A60" s="44">
        <f>+A59+1</f>
        <v>47</v>
      </c>
      <c r="B60" s="45" t="s">
        <v>110</v>
      </c>
      <c r="C60" s="46" t="s">
        <v>111</v>
      </c>
      <c r="D60" s="47" t="s">
        <v>19</v>
      </c>
      <c r="E60" s="52"/>
      <c r="F60" s="52"/>
      <c r="G60" s="48">
        <v>0</v>
      </c>
      <c r="H60" s="48">
        <v>0</v>
      </c>
      <c r="I60" s="48">
        <v>0</v>
      </c>
      <c r="J60" s="48">
        <v>0</v>
      </c>
      <c r="K60" s="49">
        <v>0</v>
      </c>
      <c r="L60" s="50">
        <v>0</v>
      </c>
      <c r="N60" s="51"/>
    </row>
    <row r="61" spans="1:14" x14ac:dyDescent="0.2">
      <c r="A61" s="44">
        <f>+A60+1</f>
        <v>48</v>
      </c>
      <c r="B61" s="45" t="s">
        <v>112</v>
      </c>
      <c r="C61" s="46" t="s">
        <v>113</v>
      </c>
      <c r="D61" s="47" t="s">
        <v>19</v>
      </c>
      <c r="E61" s="52"/>
      <c r="F61" s="52"/>
      <c r="G61" s="48">
        <v>0</v>
      </c>
      <c r="H61" s="48">
        <v>0</v>
      </c>
      <c r="I61" s="48">
        <v>0</v>
      </c>
      <c r="J61" s="48">
        <v>0</v>
      </c>
      <c r="K61" s="49">
        <v>0</v>
      </c>
      <c r="L61" s="50">
        <v>0</v>
      </c>
      <c r="N61" s="51"/>
    </row>
    <row r="62" spans="1:14" x14ac:dyDescent="0.2">
      <c r="A62" s="44">
        <f>+A61+1</f>
        <v>49</v>
      </c>
      <c r="B62" s="45" t="s">
        <v>114</v>
      </c>
      <c r="C62" s="46" t="s">
        <v>115</v>
      </c>
      <c r="D62" s="47" t="s">
        <v>19</v>
      </c>
      <c r="E62" s="52"/>
      <c r="F62" s="52"/>
      <c r="G62" s="48">
        <v>0</v>
      </c>
      <c r="H62" s="48">
        <v>0</v>
      </c>
      <c r="I62" s="48">
        <v>0</v>
      </c>
      <c r="J62" s="48">
        <v>0</v>
      </c>
      <c r="K62" s="49">
        <v>0</v>
      </c>
      <c r="L62" s="50">
        <v>0</v>
      </c>
      <c r="N62" s="51"/>
    </row>
    <row r="63" spans="1:14" x14ac:dyDescent="0.2">
      <c r="A63" s="44">
        <f>+A62+1</f>
        <v>50</v>
      </c>
      <c r="B63" s="45" t="s">
        <v>116</v>
      </c>
      <c r="C63" s="46" t="s">
        <v>117</v>
      </c>
      <c r="D63" s="47" t="s">
        <v>19</v>
      </c>
      <c r="E63" s="52"/>
      <c r="F63" s="52"/>
      <c r="G63" s="48">
        <v>0</v>
      </c>
      <c r="H63" s="48">
        <v>0</v>
      </c>
      <c r="I63" s="48">
        <v>0</v>
      </c>
      <c r="J63" s="48">
        <v>0</v>
      </c>
      <c r="K63" s="49">
        <v>0</v>
      </c>
      <c r="L63" s="50">
        <v>0</v>
      </c>
      <c r="N63" s="51"/>
    </row>
    <row r="64" spans="1:14" x14ac:dyDescent="0.2">
      <c r="A64" s="44">
        <f>+A63+1</f>
        <v>51</v>
      </c>
      <c r="B64" s="45" t="s">
        <v>118</v>
      </c>
      <c r="C64" s="46" t="s">
        <v>119</v>
      </c>
      <c r="D64" s="47" t="s">
        <v>19</v>
      </c>
      <c r="E64" s="47" t="s">
        <v>19</v>
      </c>
      <c r="F64" s="47" t="s">
        <v>19</v>
      </c>
      <c r="G64" s="48">
        <v>0</v>
      </c>
      <c r="H64" s="48">
        <v>0</v>
      </c>
      <c r="I64" s="48">
        <v>0</v>
      </c>
      <c r="J64" s="48">
        <v>0</v>
      </c>
      <c r="K64" s="49">
        <v>0</v>
      </c>
      <c r="L64" s="50">
        <v>0</v>
      </c>
      <c r="N64" s="51"/>
    </row>
    <row r="65" spans="1:14" ht="16.5" thickBot="1" x14ac:dyDescent="0.25">
      <c r="A65" s="55">
        <f>+A64+1</f>
        <v>52</v>
      </c>
      <c r="B65" s="56" t="s">
        <v>120</v>
      </c>
      <c r="C65" s="57" t="s">
        <v>121</v>
      </c>
      <c r="D65" s="58" t="s">
        <v>19</v>
      </c>
      <c r="E65" s="59"/>
      <c r="F65" s="59"/>
      <c r="G65" s="48">
        <v>0</v>
      </c>
      <c r="H65" s="48">
        <v>0</v>
      </c>
      <c r="I65" s="48">
        <v>0</v>
      </c>
      <c r="J65" s="48">
        <v>0</v>
      </c>
      <c r="K65" s="49">
        <v>0</v>
      </c>
      <c r="L65" s="50">
        <v>0</v>
      </c>
      <c r="N65" s="51"/>
    </row>
    <row r="66" spans="1:14" x14ac:dyDescent="0.2">
      <c r="A66" s="60" t="s">
        <v>8</v>
      </c>
      <c r="B66" s="61"/>
      <c r="C66" s="62"/>
      <c r="D66" s="39">
        <f>COUNTA('1 сар'!D14:D64)</f>
        <v>51</v>
      </c>
      <c r="E66" s="39">
        <f>COUNTA('1 сар'!E14:E64)</f>
        <v>22</v>
      </c>
      <c r="F66" s="39">
        <f>COUNTA('1 сар'!F14:F64)</f>
        <v>20</v>
      </c>
      <c r="G66" s="63">
        <f>SUM(G14:G65)</f>
        <v>19358621479.279999</v>
      </c>
      <c r="H66" s="63">
        <f t="shared" ref="H66:L66" si="0">SUM(H14:H65)</f>
        <v>47258310448.680008</v>
      </c>
      <c r="I66" s="63">
        <f t="shared" si="0"/>
        <v>21630565968</v>
      </c>
      <c r="J66" s="63">
        <f t="shared" si="0"/>
        <v>88247497895.959946</v>
      </c>
      <c r="K66" s="63">
        <f t="shared" si="0"/>
        <v>297838955002.14001</v>
      </c>
      <c r="L66" s="64">
        <f t="shared" si="0"/>
        <v>0.99999999999999989</v>
      </c>
    </row>
    <row r="67" spans="1:14" ht="27" customHeight="1" x14ac:dyDescent="0.2">
      <c r="B67" s="65" t="s">
        <v>122</v>
      </c>
      <c r="C67" s="65"/>
      <c r="D67" s="9"/>
      <c r="E67" s="9"/>
      <c r="F67" s="9"/>
      <c r="G67" s="66"/>
      <c r="H67" s="2"/>
      <c r="I67" s="67"/>
      <c r="J67" s="68"/>
    </row>
    <row r="68" spans="1:14" ht="27.6" customHeight="1" x14ac:dyDescent="0.2">
      <c r="B68" s="65"/>
      <c r="C68" s="65"/>
      <c r="D68" s="9"/>
      <c r="E68" s="9"/>
      <c r="F68" s="9"/>
      <c r="G68" s="69"/>
      <c r="H68" s="69"/>
      <c r="K68" s="68"/>
      <c r="L68" s="68"/>
    </row>
    <row r="69" spans="1:14" x14ac:dyDescent="0.2">
      <c r="I69" s="70"/>
      <c r="J69" s="1"/>
      <c r="K69" s="18"/>
      <c r="M69" s="71"/>
    </row>
    <row r="70" spans="1:14" x14ac:dyDescent="0.2">
      <c r="L70" s="18"/>
    </row>
    <row r="72" spans="1:14" x14ac:dyDescent="0.2">
      <c r="L72" s="72"/>
    </row>
    <row r="73" spans="1:14" x14ac:dyDescent="0.2">
      <c r="L73" s="72"/>
    </row>
    <row r="74" spans="1:14" x14ac:dyDescent="0.2">
      <c r="L74" s="72" t="s">
        <v>123</v>
      </c>
    </row>
    <row r="75" spans="1:14" x14ac:dyDescent="0.2">
      <c r="L75" s="73"/>
    </row>
    <row r="123" spans="11:11" x14ac:dyDescent="0.2">
      <c r="K123" s="68"/>
    </row>
  </sheetData>
  <mergeCells count="13">
    <mergeCell ref="B67:C68"/>
    <mergeCell ref="K10:L11"/>
    <mergeCell ref="H12:I12"/>
    <mergeCell ref="J12:J13"/>
    <mergeCell ref="K12:K13"/>
    <mergeCell ref="L12:L13"/>
    <mergeCell ref="A66:C66"/>
    <mergeCell ref="D8:I8"/>
    <mergeCell ref="A10:A13"/>
    <mergeCell ref="B10:B13"/>
    <mergeCell ref="C10:C13"/>
    <mergeCell ref="D10:F12"/>
    <mergeCell ref="G10:J11"/>
  </mergeCells>
  <pageMargins left="0.25" right="0.25" top="0.75" bottom="0.75" header="0.3" footer="0.3"/>
  <pageSetup paperSize="5" scale="42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сар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Ganjiguur Ochirbat</dc:creator>
  <cp:lastModifiedBy>Ganjiguur Ochirbat</cp:lastModifiedBy>
  <cp:lastPrinted>2026-03-09T08:55:54Z</cp:lastPrinted>
  <dcterms:created xsi:type="dcterms:W3CDTF">2026-03-09T08:45:09Z</dcterms:created>
  <dcterms:modified xsi:type="dcterms:W3CDTF">2026-03-09T09:05:03Z</dcterms:modified>
</cp:coreProperties>
</file>