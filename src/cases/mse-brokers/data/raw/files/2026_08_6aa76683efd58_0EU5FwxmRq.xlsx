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EX daily\2026\Gishuun\Ariljaa tailan\"/>
    </mc:Choice>
  </mc:AlternateContent>
  <xr:revisionPtr revIDLastSave="0" documentId="8_{D03424A1-06D2-42EA-895D-D92FB3FCF495}" xr6:coauthVersionLast="47" xr6:coauthVersionMax="47" xr10:uidLastSave="{00000000-0000-0000-0000-000000000000}"/>
  <bookViews>
    <workbookView xWindow="-120" yWindow="-120" windowWidth="29040" windowHeight="15720" xr2:uid="{1A685202-E326-48A0-BAE6-B3446A869E1F}"/>
  </bookViews>
  <sheets>
    <sheet name="8 сар" sheetId="1" r:id="rId1"/>
  </sheets>
  <externalReferences>
    <externalReference r:id="rId2"/>
    <externalReference r:id="rId3"/>
  </externalReferences>
  <definedNames>
    <definedName name="_xlnm._FilterDatabase" localSheetId="0" hidden="1">'8 сар'!$A$13:$L$13</definedName>
    <definedName name="_xlnm.Print_Area" localSheetId="0">'8 сар'!$A$1:$L$68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65" i="1" l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14" i="1"/>
  <c r="I15" i="1"/>
  <c r="I16" i="1"/>
  <c r="I17" i="1"/>
  <c r="I18" i="1"/>
  <c r="I65" i="1" s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14" i="1"/>
  <c r="G65" i="1" l="1"/>
  <c r="H65" i="1"/>
  <c r="F65" i="1" l="1"/>
  <c r="E65" i="1"/>
  <c r="D65" i="1"/>
  <c r="A15" i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J21" i="1" l="1"/>
  <c r="K21" i="1" s="1"/>
  <c r="J27" i="1"/>
  <c r="K27" i="1" s="1"/>
  <c r="J35" i="1"/>
  <c r="K35" i="1" s="1"/>
  <c r="J42" i="1"/>
  <c r="K42" i="1" s="1"/>
  <c r="J34" i="1"/>
  <c r="K34" i="1" s="1"/>
  <c r="J26" i="1"/>
  <c r="K26" i="1" s="1"/>
  <c r="J61" i="1"/>
  <c r="K61" i="1" s="1"/>
  <c r="J49" i="1"/>
  <c r="K49" i="1" s="1"/>
  <c r="J22" i="1"/>
  <c r="K22" i="1" s="1"/>
  <c r="J19" i="1"/>
  <c r="K19" i="1" s="1"/>
  <c r="J55" i="1"/>
  <c r="K55" i="1" s="1"/>
  <c r="J39" i="1"/>
  <c r="K39" i="1" s="1"/>
  <c r="J60" i="1"/>
  <c r="K60" i="1" s="1"/>
  <c r="J37" i="1"/>
  <c r="K37" i="1" s="1"/>
  <c r="J36" i="1"/>
  <c r="K36" i="1" s="1"/>
  <c r="J51" i="1"/>
  <c r="K51" i="1" s="1"/>
  <c r="J58" i="1"/>
  <c r="K58" i="1" s="1"/>
  <c r="J33" i="1"/>
  <c r="K33" i="1" s="1"/>
  <c r="J54" i="1"/>
  <c r="K54" i="1" s="1"/>
  <c r="J59" i="1"/>
  <c r="K59" i="1" s="1"/>
  <c r="J28" i="1"/>
  <c r="K28" i="1" s="1"/>
  <c r="J64" i="1"/>
  <c r="K64" i="1" s="1"/>
  <c r="J31" i="1"/>
  <c r="K31" i="1" s="1"/>
  <c r="J38" i="1"/>
  <c r="K38" i="1" s="1"/>
  <c r="J52" i="1"/>
  <c r="K52" i="1" s="1"/>
  <c r="J46" i="1"/>
  <c r="K46" i="1" s="1"/>
  <c r="J40" i="1"/>
  <c r="K40" i="1" s="1"/>
  <c r="J53" i="1"/>
  <c r="K53" i="1" s="1"/>
  <c r="J57" i="1"/>
  <c r="K57" i="1" s="1"/>
  <c r="J30" i="1"/>
  <c r="K30" i="1" s="1"/>
  <c r="J62" i="1"/>
  <c r="K62" i="1" s="1"/>
  <c r="J32" i="1"/>
  <c r="K32" i="1" s="1"/>
  <c r="J25" i="1"/>
  <c r="K25" i="1" s="1"/>
  <c r="J48" i="1"/>
  <c r="K48" i="1" s="1"/>
  <c r="J63" i="1"/>
  <c r="K63" i="1" s="1"/>
  <c r="J45" i="1"/>
  <c r="K45" i="1" s="1"/>
  <c r="J23" i="1"/>
  <c r="K23" i="1" s="1"/>
  <c r="J20" i="1"/>
  <c r="K20" i="1" s="1"/>
  <c r="J44" i="1"/>
  <c r="K44" i="1" s="1"/>
  <c r="J17" i="1"/>
  <c r="K17" i="1" s="1"/>
  <c r="J56" i="1"/>
  <c r="K56" i="1" s="1"/>
  <c r="J18" i="1"/>
  <c r="K18" i="1" s="1"/>
  <c r="J16" i="1"/>
  <c r="K16" i="1" s="1"/>
  <c r="J43" i="1"/>
  <c r="K43" i="1" s="1"/>
  <c r="J41" i="1"/>
  <c r="K41" i="1" s="1"/>
  <c r="J50" i="1"/>
  <c r="K50" i="1" s="1"/>
  <c r="J47" i="1"/>
  <c r="K47" i="1" s="1"/>
  <c r="J24" i="1" l="1"/>
  <c r="K24" i="1" s="1"/>
  <c r="J29" i="1"/>
  <c r="K29" i="1" s="1"/>
  <c r="J14" i="1"/>
  <c r="K14" i="1" s="1"/>
  <c r="J15" i="1"/>
  <c r="K15" i="1" s="1"/>
  <c r="J65" i="1" l="1"/>
  <c r="K65" i="1"/>
  <c r="L14" i="1" s="1"/>
  <c r="L17" i="1" l="1"/>
  <c r="L23" i="1"/>
  <c r="L40" i="1"/>
  <c r="L49" i="1"/>
  <c r="L33" i="1"/>
  <c r="L15" i="1"/>
  <c r="L20" i="1"/>
  <c r="L61" i="1"/>
  <c r="L57" i="1"/>
  <c r="L46" i="1"/>
  <c r="L36" i="1"/>
  <c r="L16" i="1"/>
  <c r="L47" i="1"/>
  <c r="L19" i="1"/>
  <c r="L26" i="1"/>
  <c r="L54" i="1"/>
  <c r="L44" i="1"/>
  <c r="L32" i="1"/>
  <c r="L31" i="1"/>
  <c r="L45" i="1"/>
  <c r="L56" i="1"/>
  <c r="L42" i="1"/>
  <c r="L24" i="1"/>
  <c r="L28" i="1"/>
  <c r="L50" i="1"/>
  <c r="L51" i="1"/>
  <c r="L41" i="1"/>
  <c r="L35" i="1"/>
  <c r="L25" i="1"/>
  <c r="L58" i="1"/>
  <c r="L48" i="1"/>
  <c r="L29" i="1"/>
  <c r="L52" i="1"/>
  <c r="L21" i="1"/>
  <c r="L59" i="1"/>
  <c r="L38" i="1"/>
  <c r="L43" i="1"/>
  <c r="L63" i="1"/>
  <c r="L37" i="1"/>
  <c r="L39" i="1"/>
  <c r="L60" i="1"/>
  <c r="L27" i="1"/>
  <c r="L18" i="1"/>
  <c r="L55" i="1"/>
  <c r="L64" i="1"/>
  <c r="L30" i="1"/>
  <c r="L34" i="1"/>
  <c r="L62" i="1"/>
  <c r="L22" i="1"/>
  <c r="L53" i="1"/>
  <c r="L65" i="1" l="1"/>
</calcChain>
</file>

<file path=xl/sharedStrings.xml><?xml version="1.0" encoding="utf-8"?>
<sst xmlns="http://schemas.openxmlformats.org/spreadsheetml/2006/main" count="218" uniqueCount="123">
  <si>
    <t xml:space="preserve">"МХБ" ХК-ИЙН ГИШҮҮН КОМПАНИУДЫН АРИЛЖААНЫ ТАЙЛАН </t>
  </si>
  <si>
    <t>№</t>
  </si>
  <si>
    <t>Үсгэн код</t>
  </si>
  <si>
    <t>Компанийн нэр</t>
  </si>
  <si>
    <t>Үйл ажиллагааны чиглэл</t>
  </si>
  <si>
    <t>2026 оны арилжааны нийт дүн</t>
  </si>
  <si>
    <t xml:space="preserve">IPO </t>
  </si>
  <si>
    <t>Үнэт цаасны хоёрдогч зах зээлийн арилжаа</t>
  </si>
  <si>
    <t xml:space="preserve">Нийт </t>
  </si>
  <si>
    <t>Нийт арилжаа</t>
  </si>
  <si>
    <t>Эзлэх хувь</t>
  </si>
  <si>
    <t>Брокер, дилер</t>
  </si>
  <si>
    <t>Андеррайтер</t>
  </si>
  <si>
    <t xml:space="preserve">Хөрөнгө оруулалтын зөвлөх </t>
  </si>
  <si>
    <t xml:space="preserve">ЗГДҮЦ </t>
  </si>
  <si>
    <t>ХУВЬЦАА /ХОС/</t>
  </si>
  <si>
    <t>КОМПАНИЙН БОНД, ХБҮЦ, ЗГДҮЦ</t>
  </si>
  <si>
    <t>GLMT</t>
  </si>
  <si>
    <t>"ГОЛОМТ КАПИТАЛ ҮЦК" ХХК</t>
  </si>
  <si>
    <t>●</t>
  </si>
  <si>
    <t>MICC</t>
  </si>
  <si>
    <t>"ЭМ АЙ СИ СИ  ҮЦК" ХХК</t>
  </si>
  <si>
    <t>TDB</t>
  </si>
  <si>
    <t>"ТИ ДИ БИ СЕКЬЮРИТИЗ ҮЦК" ХХК</t>
  </si>
  <si>
    <t>ZGB</t>
  </si>
  <si>
    <t>"ТАВАНБОГД КАПИТАЛ ҮЦК" ХХК</t>
  </si>
  <si>
    <t>INVC</t>
  </si>
  <si>
    <t>"ИНВЕСКОР КАПИТАЛ ҮЦК" ХХК</t>
  </si>
  <si>
    <t>BDSC</t>
  </si>
  <si>
    <t>"БИ ДИ СЕК ҮЦК" ХК</t>
  </si>
  <si>
    <t>MIBG</t>
  </si>
  <si>
    <t>"МАНДАЛ КАПИТАЛ МАРКЕТС ҮЦК" ХХК</t>
  </si>
  <si>
    <t>STIN</t>
  </si>
  <si>
    <t>"СТАНДАРТ ИНВЕСТМЕНТ ҮЦК" ХХК</t>
  </si>
  <si>
    <t>MNET</t>
  </si>
  <si>
    <t>"АРД СЕКЬЮРИТИЗ ҮЦК" ХХК</t>
  </si>
  <si>
    <t>LFTI</t>
  </si>
  <si>
    <t>"ЛАЙФТАЙМ ИНВЕСТМЕНТ ҮЦК" ХХК</t>
  </si>
  <si>
    <t>TTOL</t>
  </si>
  <si>
    <t>"АПЕКС КАПИТАЛ ҮЦК" ХХК</t>
  </si>
  <si>
    <t>STOK</t>
  </si>
  <si>
    <t>"СТОКЛАБ СЕКЬЮРИТИЗ ҮЦК" ХХК</t>
  </si>
  <si>
    <t>TNGR</t>
  </si>
  <si>
    <t>"ТЭНГЭР КАПИТАЛ  ҮЦК" ХХК</t>
  </si>
  <si>
    <t>ARD</t>
  </si>
  <si>
    <t>"ӨЛЗИЙ ЭНД КО КАПИТАЛ ҮЦК" ХХК</t>
  </si>
  <si>
    <t>RISM</t>
  </si>
  <si>
    <t>"РАЙНОС ИНВЕСТМЕНТ ҮЦК" ХХК</t>
  </si>
  <si>
    <t>BUMB</t>
  </si>
  <si>
    <t>"БУМБАТ-АЛТАЙ ҮЦК" ХХК</t>
  </si>
  <si>
    <t>UNET</t>
  </si>
  <si>
    <t>"ҮНЭТ СЕКЬЮРИТИС ҮЦК" ХХК</t>
  </si>
  <si>
    <t>BZIN</t>
  </si>
  <si>
    <t>"МИРЭ ЭССЭТ СЕКЬЮРИТИС МОНГОЛ ҮЦК" ХХК</t>
  </si>
  <si>
    <t>BKOC</t>
  </si>
  <si>
    <t>"ЭС ЖИ ИНВЕСТМЕНТ ЭНД СЕКЬЮРИТИС ҮЦК" ХХК</t>
  </si>
  <si>
    <t>DELG</t>
  </si>
  <si>
    <t>"ДИ ЭЙЧ КАПИТАЛ ҮЦК" ХХК</t>
  </si>
  <si>
    <t>GDEV</t>
  </si>
  <si>
    <t>"ГРАНДДЕВЕЛОПМЕНТ ҮЦК" ХХК</t>
  </si>
  <si>
    <t>GDSC</t>
  </si>
  <si>
    <t>"ГҮҮДСЕК ҮЦК" ХХК</t>
  </si>
  <si>
    <t>SGC</t>
  </si>
  <si>
    <t>"ЭС ЖИ КАПИТАЛ ҮЦК" ХХК</t>
  </si>
  <si>
    <t>DRBR</t>
  </si>
  <si>
    <t>"ДАРХАН БРОКЕР ҮЦК" ХХК</t>
  </si>
  <si>
    <t>NOVL</t>
  </si>
  <si>
    <t>"НОВЕЛ ИНВЕСТМЕНТ ҮЦК" ХХК</t>
  </si>
  <si>
    <t>GAUL</t>
  </si>
  <si>
    <t>"ГАҮЛИ ҮЦК" ХХК</t>
  </si>
  <si>
    <t>UNDR</t>
  </si>
  <si>
    <t>"ӨНДӨРХААН ИНВЕСТ ҮЦК" ХХК</t>
  </si>
  <si>
    <t>MSEC</t>
  </si>
  <si>
    <t>"МОНСЕК ҮЦК" ХХК</t>
  </si>
  <si>
    <t>TCHB</t>
  </si>
  <si>
    <t>"ТУЛГАТ ЧАНДМАНЬ БАЯН  ҮЦК" ХХК</t>
  </si>
  <si>
    <t>ARGB</t>
  </si>
  <si>
    <t>"АРГАЙ БЭСТ ҮЦК" ХХК</t>
  </si>
  <si>
    <t>BULG</t>
  </si>
  <si>
    <t>"БУЛГАН БРОКЕР ҮЦК" ХХК</t>
  </si>
  <si>
    <t>ALTN</t>
  </si>
  <si>
    <t>"АЛТАН ХОРОМСОГ ҮЦК" ХХК</t>
  </si>
  <si>
    <t>ZRGD</t>
  </si>
  <si>
    <t>"НЭТСЭК ҮЦК" ХХК</t>
  </si>
  <si>
    <t>NSEC</t>
  </si>
  <si>
    <t>"НЭЙШНЛ СЕКЮРИТИС ҮЦК" ХХК</t>
  </si>
  <si>
    <t>VTCM</t>
  </si>
  <si>
    <t>"ВАНТЭЙЖ КАПИТАЛ ҮЦК" ХХК</t>
  </si>
  <si>
    <t>MERG</t>
  </si>
  <si>
    <t>"МЭРГЭН САНАА ҮЦК" ХХК</t>
  </si>
  <si>
    <t>DOMI</t>
  </si>
  <si>
    <t>"ДОМИКС СЕК ҮЦК" ХХК</t>
  </si>
  <si>
    <t>MSSC</t>
  </si>
  <si>
    <t xml:space="preserve"> "М СЕКЬЮРИТИС ҮЦК"</t>
  </si>
  <si>
    <t>TABO</t>
  </si>
  <si>
    <t>"ТАВАН БОГД ҮЦК" ХХК</t>
  </si>
  <si>
    <t>BSK</t>
  </si>
  <si>
    <t>"БЛЮСКАЙ СЕКЬЮРИТИЗ ҮЦК" ХК</t>
  </si>
  <si>
    <t>SANR</t>
  </si>
  <si>
    <t>"САНАР ҮЦК" ХХК</t>
  </si>
  <si>
    <t>HUN</t>
  </si>
  <si>
    <t>"ХҮННҮ ЭМПАЙР ҮЦК" ХХК</t>
  </si>
  <si>
    <t>BATS</t>
  </si>
  <si>
    <t>"ФИНГЕЙТ СЕКЮРИТИС ҮЦК" ХХК</t>
  </si>
  <si>
    <t>BLAC</t>
  </si>
  <si>
    <t>"МАЗААЛАЙ КАПИТАЛ ПАРТНЕРС ҮЦК" ХХК</t>
  </si>
  <si>
    <t>SECP</t>
  </si>
  <si>
    <t>"СИКАП  ҮЦК" ХХК</t>
  </si>
  <si>
    <t>DCF</t>
  </si>
  <si>
    <t>"ДИ СИ ЭФ ҮЦК" ХХК</t>
  </si>
  <si>
    <t>SILS</t>
  </si>
  <si>
    <t>"СИЛВЭР ЛАЙТ СЕКЮРИТИЙЗ ҮЦК" ХХК</t>
  </si>
  <si>
    <t>GATR</t>
  </si>
  <si>
    <t>"ГАЦУУРТ ТРЕЙД ҮЦК" ХХК</t>
  </si>
  <si>
    <t>MONG</t>
  </si>
  <si>
    <t>"МОНГОЛ СЕКЮРИТИЕС ҮЦК" ХК</t>
  </si>
  <si>
    <t>MSDQ</t>
  </si>
  <si>
    <t>"МАСДАК ҮНЭТ ЦААСНЫ КОМПАНИ" ХХК</t>
  </si>
  <si>
    <t>CTRL</t>
  </si>
  <si>
    <t>"ЦЕНТРАЛ СЕКЬЮРИТИЙЗ ҮЦК" ХХК</t>
  </si>
  <si>
    <t xml:space="preserve">Жич: Үнэт цаасны арилжааны авсан, зарсан нийт үнийн дүнгээр жагсаав. </t>
  </si>
  <si>
    <t xml:space="preserve"> </t>
  </si>
  <si>
    <t>8 дугаар сарын арилжааны дүн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</si>
</sst>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\ _£_-;\-* #,##0.00\ _£_-;_-* &quot;-&quot;??\ _£_-;_-@_-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indexed="8"/>
      <name val="Times New Roman"/>
      <family val="1"/>
    </font>
    <font>
      <sz val="12"/>
      <name val="Times New Roman"/>
      <family val="1"/>
    </font>
    <font>
      <sz val="12"/>
      <color indexed="8"/>
      <name val="Arial"/>
      <family val="2"/>
    </font>
    <font>
      <b/>
      <sz val="1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1" applyFont="1" applyAlignment="1">
      <alignment horizontal="center" vertical="center" wrapText="1"/>
    </xf>
    <xf numFmtId="164" fontId="2" fillId="0" borderId="0" xfId="2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4" fillId="0" borderId="0" xfId="1" applyFont="1" applyAlignment="1">
      <alignment vertical="center" wrapText="1"/>
    </xf>
    <xf numFmtId="0" fontId="3" fillId="0" borderId="0" xfId="1" applyFont="1" applyAlignment="1">
      <alignment vertical="center" wrapText="1"/>
    </xf>
    <xf numFmtId="0" fontId="4" fillId="3" borderId="6" xfId="1" applyFont="1" applyFill="1" applyBorder="1" applyAlignment="1">
      <alignment horizontal="center" vertical="center" wrapText="1"/>
    </xf>
    <xf numFmtId="0" fontId="4" fillId="3" borderId="16" xfId="1" applyFont="1" applyFill="1" applyBorder="1" applyAlignment="1">
      <alignment horizontal="center" vertical="center" wrapText="1"/>
    </xf>
    <xf numFmtId="0" fontId="4" fillId="2" borderId="6" xfId="1" applyFont="1" applyFill="1" applyBorder="1" applyAlignment="1">
      <alignment horizontal="center" vertical="center" wrapText="1"/>
    </xf>
    <xf numFmtId="0" fontId="2" fillId="2" borderId="23" xfId="1" applyFont="1" applyFill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top"/>
    </xf>
    <xf numFmtId="0" fontId="5" fillId="0" borderId="6" xfId="1" applyFont="1" applyBorder="1" applyAlignment="1">
      <alignment vertical="top"/>
    </xf>
    <xf numFmtId="0" fontId="6" fillId="0" borderId="6" xfId="1" applyFont="1" applyBorder="1" applyAlignment="1">
      <alignment horizontal="center" vertical="center" wrapText="1"/>
    </xf>
    <xf numFmtId="164" fontId="6" fillId="3" borderId="6" xfId="2" applyFont="1" applyFill="1" applyBorder="1" applyAlignment="1">
      <alignment horizontal="center" vertical="center" wrapText="1"/>
    </xf>
    <xf numFmtId="164" fontId="6" fillId="3" borderId="16" xfId="2" applyFont="1" applyFill="1" applyBorder="1" applyAlignment="1">
      <alignment horizontal="center" vertical="center" wrapText="1"/>
    </xf>
    <xf numFmtId="10" fontId="2" fillId="5" borderId="6" xfId="3" applyNumberFormat="1" applyFont="1" applyFill="1" applyBorder="1" applyAlignment="1">
      <alignment horizontal="center" vertical="center" wrapText="1"/>
    </xf>
    <xf numFmtId="164" fontId="6" fillId="0" borderId="0" xfId="2" applyFont="1" applyFill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4" fontId="7" fillId="0" borderId="6" xfId="1" applyNumberFormat="1" applyFont="1" applyBorder="1" applyAlignment="1">
      <alignment vertical="top"/>
    </xf>
    <xf numFmtId="0" fontId="2" fillId="2" borderId="0" xfId="1" applyFont="1" applyFill="1" applyAlignment="1">
      <alignment horizontal="center" vertical="center" wrapText="1"/>
    </xf>
    <xf numFmtId="0" fontId="6" fillId="0" borderId="24" xfId="1" applyFont="1" applyBorder="1" applyAlignment="1">
      <alignment horizontal="center" vertical="center" wrapText="1"/>
    </xf>
    <xf numFmtId="0" fontId="2" fillId="0" borderId="24" xfId="1" applyFont="1" applyBorder="1" applyAlignment="1">
      <alignment horizontal="center" vertical="center" wrapText="1"/>
    </xf>
    <xf numFmtId="4" fontId="4" fillId="0" borderId="0" xfId="1" applyNumberFormat="1" applyFont="1" applyAlignment="1">
      <alignment horizontal="center" vertical="center" wrapText="1"/>
    </xf>
    <xf numFmtId="43" fontId="2" fillId="0" borderId="0" xfId="1" applyNumberFormat="1" applyFont="1" applyAlignment="1">
      <alignment horizontal="center" vertical="center"/>
    </xf>
    <xf numFmtId="43" fontId="2" fillId="0" borderId="0" xfId="1" applyNumberFormat="1" applyFont="1" applyAlignment="1">
      <alignment horizontal="center" vertical="center" wrapText="1"/>
    </xf>
    <xf numFmtId="0" fontId="3" fillId="0" borderId="0" xfId="1" applyFont="1" applyAlignment="1">
      <alignment horizontal="left" vertical="center" wrapText="1"/>
    </xf>
    <xf numFmtId="4" fontId="2" fillId="0" borderId="0" xfId="1" applyNumberFormat="1" applyFont="1" applyAlignment="1">
      <alignment horizontal="center" vertical="center"/>
    </xf>
    <xf numFmtId="164" fontId="2" fillId="0" borderId="0" xfId="2" applyFont="1" applyAlignment="1">
      <alignment horizontal="center" vertical="center" wrapText="1"/>
    </xf>
    <xf numFmtId="4" fontId="1" fillId="0" borderId="0" xfId="1" applyNumberFormat="1"/>
    <xf numFmtId="4" fontId="2" fillId="0" borderId="0" xfId="1" applyNumberFormat="1" applyFont="1" applyAlignment="1">
      <alignment horizontal="center" vertical="center" wrapText="1"/>
    </xf>
    <xf numFmtId="9" fontId="8" fillId="3" borderId="6" xfId="3" applyFont="1" applyFill="1" applyBorder="1" applyAlignment="1">
      <alignment horizontal="center" vertical="center" wrapText="1"/>
    </xf>
    <xf numFmtId="0" fontId="4" fillId="2" borderId="25" xfId="1" applyFont="1" applyFill="1" applyBorder="1" applyAlignment="1">
      <alignment horizontal="center" vertical="center" wrapText="1"/>
    </xf>
    <xf numFmtId="0" fontId="4" fillId="2" borderId="14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4" fillId="4" borderId="3" xfId="1" applyFont="1" applyFill="1" applyBorder="1" applyAlignment="1">
      <alignment horizontal="center" vertical="center" wrapText="1"/>
    </xf>
    <xf numFmtId="0" fontId="4" fillId="4" borderId="7" xfId="1" applyFont="1" applyFill="1" applyBorder="1" applyAlignment="1">
      <alignment horizontal="center" vertical="center" wrapText="1"/>
    </xf>
    <xf numFmtId="0" fontId="4" fillId="4" borderId="12" xfId="1" applyFont="1" applyFill="1" applyBorder="1" applyAlignment="1">
      <alignment horizontal="center" vertical="center" wrapText="1"/>
    </xf>
    <xf numFmtId="0" fontId="4" fillId="4" borderId="13" xfId="1" applyFont="1" applyFill="1" applyBorder="1" applyAlignment="1">
      <alignment horizontal="center" vertical="center" wrapText="1"/>
    </xf>
    <xf numFmtId="0" fontId="4" fillId="3" borderId="16" xfId="1" applyFont="1" applyFill="1" applyBorder="1" applyAlignment="1">
      <alignment horizontal="center" vertical="center" wrapText="1"/>
    </xf>
    <xf numFmtId="0" fontId="4" fillId="3" borderId="17" xfId="1" applyFont="1" applyFill="1" applyBorder="1" applyAlignment="1">
      <alignment horizontal="center" vertical="center" wrapText="1"/>
    </xf>
    <xf numFmtId="0" fontId="4" fillId="3" borderId="18" xfId="1" applyFont="1" applyFill="1" applyBorder="1" applyAlignment="1">
      <alignment horizontal="center" vertical="center" wrapText="1"/>
    </xf>
    <xf numFmtId="0" fontId="4" fillId="3" borderId="21" xfId="1" applyFont="1" applyFill="1" applyBorder="1" applyAlignment="1">
      <alignment horizontal="center" vertical="center" wrapText="1"/>
    </xf>
    <xf numFmtId="0" fontId="4" fillId="4" borderId="18" xfId="1" applyFont="1" applyFill="1" applyBorder="1" applyAlignment="1">
      <alignment horizontal="center" vertical="center" wrapText="1"/>
    </xf>
    <xf numFmtId="0" fontId="4" fillId="4" borderId="21" xfId="1" applyFont="1" applyFill="1" applyBorder="1" applyAlignment="1">
      <alignment horizontal="center" vertical="center" wrapText="1"/>
    </xf>
    <xf numFmtId="0" fontId="4" fillId="4" borderId="19" xfId="1" applyFont="1" applyFill="1" applyBorder="1" applyAlignment="1">
      <alignment horizontal="center" vertical="center" wrapText="1"/>
    </xf>
    <xf numFmtId="0" fontId="4" fillId="4" borderId="22" xfId="1" applyFont="1" applyFill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20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2" borderId="9" xfId="1" applyFont="1" applyFill="1" applyBorder="1" applyAlignment="1">
      <alignment horizontal="center" vertical="center" wrapText="1"/>
    </xf>
    <xf numFmtId="0" fontId="4" fillId="2" borderId="21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0" fontId="4" fillId="2" borderId="5" xfId="1" applyFont="1" applyFill="1" applyBorder="1" applyAlignment="1">
      <alignment horizontal="center" vertical="center" wrapText="1"/>
    </xf>
    <xf numFmtId="0" fontId="4" fillId="2" borderId="10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3" borderId="6" xfId="1" applyFont="1" applyFill="1" applyBorder="1" applyAlignment="1">
      <alignment horizontal="center" vertical="center" wrapText="1"/>
    </xf>
  </cellXfs>
  <cellStyles count="4">
    <cellStyle name="Comma 10" xfId="2" xr:uid="{26CCC03E-CD10-400D-80AA-B78EF411D50E}"/>
    <cellStyle name="Normal" xfId="0" builtinId="0"/>
    <cellStyle name="Normal 10 2 2 17 2" xfId="1" xr:uid="{5A13EE44-57F3-462E-92B8-68BD6A675179}"/>
    <cellStyle name="Percent 2" xfId="3" xr:uid="{58B88603-9654-4F21-9E45-2BDCEAE63F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27215</xdr:colOff>
      <xdr:row>0</xdr:row>
      <xdr:rowOff>73478</xdr:rowOff>
    </xdr:from>
    <xdr:to>
      <xdr:col>12</xdr:col>
      <xdr:colOff>0</xdr:colOff>
      <xdr:row>6</xdr:row>
      <xdr:rowOff>54428</xdr:rowOff>
    </xdr:to>
    <xdr:grpSp>
      <xdr:nvGrpSpPr>
        <xdr:cNvPr id="2" name="Group 6">
          <a:extLst>
            <a:ext uri="{FF2B5EF4-FFF2-40B4-BE49-F238E27FC236}">
              <a16:creationId xmlns:a16="http://schemas.microsoft.com/office/drawing/2014/main" id="{B859F9ED-FAB8-4508-B0A8-E2BDFA061429}"/>
            </a:ext>
          </a:extLst>
        </xdr:cNvPr>
        <xdr:cNvGrpSpPr>
          <a:grpSpLocks/>
        </xdr:cNvGrpSpPr>
      </xdr:nvGrpSpPr>
      <xdr:grpSpPr bwMode="auto">
        <a:xfrm>
          <a:off x="27215" y="73478"/>
          <a:ext cx="20805321" cy="1178379"/>
          <a:chOff x="-459" y="-536"/>
          <a:chExt cx="12780" cy="2246"/>
        </a:xfrm>
      </xdr:grpSpPr>
      <xdr:sp macro="" textlink="">
        <xdr:nvSpPr>
          <xdr:cNvPr id="3" name="Rectangle 7">
            <a:extLst>
              <a:ext uri="{FF2B5EF4-FFF2-40B4-BE49-F238E27FC236}">
                <a16:creationId xmlns:a16="http://schemas.microsoft.com/office/drawing/2014/main" id="{6914CA44-8A79-1CC7-DBCA-F6FB90F92F7F}"/>
              </a:ext>
            </a:extLst>
          </xdr:cNvPr>
          <xdr:cNvSpPr>
            <a:spLocks noChangeArrowheads="1"/>
          </xdr:cNvSpPr>
        </xdr:nvSpPr>
        <xdr:spPr bwMode="auto">
          <a:xfrm>
            <a:off x="-459" y="-536"/>
            <a:ext cx="12780" cy="1440"/>
          </a:xfrm>
          <a:prstGeom prst="rect">
            <a:avLst/>
          </a:prstGeom>
          <a:solidFill>
            <a:srgbClr val="004284"/>
          </a:solidFill>
          <a:ln>
            <a:noFill/>
          </a:ln>
          <a:effectLst>
            <a:outerShdw dist="25400" dir="5400000" algn="ctr" rotWithShape="0">
              <a:srgbClr val="808080">
                <a:alpha val="35001"/>
              </a:srgbClr>
            </a:outerShdw>
          </a:effectLst>
          <a:extLst>
            <a:ext uri="{91240B29-F687-4F45-9708-019B960494DF}">
              <a14:hiddenLine xmlns:a14="http://schemas.microsoft.com/office/drawing/2010/main" w="19050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" name="Freeform 8">
            <a:extLst>
              <a:ext uri="{FF2B5EF4-FFF2-40B4-BE49-F238E27FC236}">
                <a16:creationId xmlns:a16="http://schemas.microsoft.com/office/drawing/2014/main" id="{5CAC095F-CBD4-B1E2-353B-EA174700F8B8}"/>
              </a:ext>
            </a:extLst>
          </xdr:cNvPr>
          <xdr:cNvSpPr>
            <a:spLocks/>
          </xdr:cNvSpPr>
        </xdr:nvSpPr>
        <xdr:spPr bwMode="auto">
          <a:xfrm>
            <a:off x="1418" y="311"/>
            <a:ext cx="7916" cy="1399"/>
          </a:xfrm>
          <a:custGeom>
            <a:avLst/>
            <a:gdLst>
              <a:gd name="T0" fmla="*/ 7916 w 7916"/>
              <a:gd name="T1" fmla="*/ 694 h 1399"/>
              <a:gd name="T2" fmla="*/ 7916 w 7916"/>
              <a:gd name="T3" fmla="*/ 278 h 1399"/>
              <a:gd name="T4" fmla="*/ 0 w 7916"/>
              <a:gd name="T5" fmla="*/ 0 h 1399"/>
              <a:gd name="T6" fmla="*/ 0 w 7916"/>
              <a:gd name="T7" fmla="*/ 1399 h 1399"/>
              <a:gd name="T8" fmla="*/ 7916 w 7916"/>
              <a:gd name="T9" fmla="*/ 694 h 1399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7916" h="1399">
                <a:moveTo>
                  <a:pt x="7916" y="694"/>
                </a:moveTo>
                <a:lnTo>
                  <a:pt x="7916" y="278"/>
                </a:lnTo>
                <a:lnTo>
                  <a:pt x="0" y="0"/>
                </a:lnTo>
                <a:lnTo>
                  <a:pt x="0" y="1399"/>
                </a:lnTo>
                <a:lnTo>
                  <a:pt x="7916" y="694"/>
                </a:lnTo>
                <a:close/>
              </a:path>
            </a:pathLst>
          </a:custGeom>
          <a:solidFill>
            <a:srgbClr val="7AA2C4"/>
          </a:solidFill>
          <a:ln>
            <a:noFill/>
          </a:ln>
          <a:extLst>
            <a:ext uri="{91240B29-F687-4F45-9708-019B960494DF}">
              <a14:hiddenLine xmlns:a14="http://schemas.microsoft.com/office/drawing/2010/main" w="44450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" name="Freeform 9">
            <a:extLst>
              <a:ext uri="{FF2B5EF4-FFF2-40B4-BE49-F238E27FC236}">
                <a16:creationId xmlns:a16="http://schemas.microsoft.com/office/drawing/2014/main" id="{DC90B780-5FCA-275E-4E62-E28934DF7609}"/>
              </a:ext>
            </a:extLst>
          </xdr:cNvPr>
          <xdr:cNvSpPr>
            <a:spLocks/>
          </xdr:cNvSpPr>
        </xdr:nvSpPr>
        <xdr:spPr bwMode="auto">
          <a:xfrm>
            <a:off x="9327" y="480"/>
            <a:ext cx="2597" cy="804"/>
          </a:xfrm>
          <a:custGeom>
            <a:avLst/>
            <a:gdLst>
              <a:gd name="T0" fmla="*/ 0 w 2597"/>
              <a:gd name="T1" fmla="*/ 526 h 804"/>
              <a:gd name="T2" fmla="*/ 0 w 2597"/>
              <a:gd name="T3" fmla="*/ 110 h 804"/>
              <a:gd name="T4" fmla="*/ 2597 w 2597"/>
              <a:gd name="T5" fmla="*/ 0 h 804"/>
              <a:gd name="T6" fmla="*/ 2573 w 2597"/>
              <a:gd name="T7" fmla="*/ 804 h 804"/>
              <a:gd name="T8" fmla="*/ 0 w 2597"/>
              <a:gd name="T9" fmla="*/ 526 h 804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2597" h="804">
                <a:moveTo>
                  <a:pt x="0" y="526"/>
                </a:moveTo>
                <a:lnTo>
                  <a:pt x="0" y="110"/>
                </a:lnTo>
                <a:lnTo>
                  <a:pt x="2597" y="0"/>
                </a:lnTo>
                <a:lnTo>
                  <a:pt x="2573" y="804"/>
                </a:lnTo>
                <a:lnTo>
                  <a:pt x="0" y="526"/>
                </a:lnTo>
                <a:close/>
              </a:path>
            </a:pathLst>
          </a:custGeom>
          <a:solidFill>
            <a:srgbClr val="487DAE"/>
          </a:solidFill>
          <a:ln>
            <a:noFill/>
          </a:ln>
          <a:extLst>
            <a:ext uri="{91240B29-F687-4F45-9708-019B960494DF}">
              <a14:hiddenLine xmlns:a14="http://schemas.microsoft.com/office/drawing/2010/main" w="44450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" name="Freeform 10">
            <a:extLst>
              <a:ext uri="{FF2B5EF4-FFF2-40B4-BE49-F238E27FC236}">
                <a16:creationId xmlns:a16="http://schemas.microsoft.com/office/drawing/2014/main" id="{33792841-2836-FC1E-0AFA-5480AEC5FEA0}"/>
              </a:ext>
            </a:extLst>
          </xdr:cNvPr>
          <xdr:cNvSpPr>
            <a:spLocks/>
          </xdr:cNvSpPr>
        </xdr:nvSpPr>
        <xdr:spPr bwMode="auto">
          <a:xfrm>
            <a:off x="-279" y="318"/>
            <a:ext cx="1706" cy="1392"/>
          </a:xfrm>
          <a:custGeom>
            <a:avLst/>
            <a:gdLst>
              <a:gd name="T0" fmla="*/ 254 w 1706"/>
              <a:gd name="T1" fmla="*/ 1181 h 1392"/>
              <a:gd name="T2" fmla="*/ 0 w 1706"/>
              <a:gd name="T3" fmla="*/ 218 h 1392"/>
              <a:gd name="T4" fmla="*/ 1706 w 1706"/>
              <a:gd name="T5" fmla="*/ 0 h 1392"/>
              <a:gd name="T6" fmla="*/ 1702 w 1706"/>
              <a:gd name="T7" fmla="*/ 1392 h 1392"/>
              <a:gd name="T8" fmla="*/ 254 w 1706"/>
              <a:gd name="T9" fmla="*/ 1181 h 1392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706" h="1392">
                <a:moveTo>
                  <a:pt x="254" y="1181"/>
                </a:moveTo>
                <a:lnTo>
                  <a:pt x="0" y="218"/>
                </a:lnTo>
                <a:lnTo>
                  <a:pt x="1706" y="0"/>
                </a:lnTo>
                <a:lnTo>
                  <a:pt x="1702" y="1392"/>
                </a:lnTo>
                <a:lnTo>
                  <a:pt x="254" y="1181"/>
                </a:lnTo>
                <a:close/>
              </a:path>
            </a:pathLst>
          </a:custGeom>
          <a:solidFill>
            <a:srgbClr val="487DAE"/>
          </a:solidFill>
          <a:ln>
            <a:noFill/>
          </a:ln>
          <a:extLst>
            <a:ext uri="{91240B29-F687-4F45-9708-019B960494DF}">
              <a14:hiddenLine xmlns:a14="http://schemas.microsoft.com/office/drawing/2010/main" w="44450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  <xdr:oneCellAnchor>
    <xdr:from>
      <xdr:col>0</xdr:col>
      <xdr:colOff>173182</xdr:colOff>
      <xdr:row>3</xdr:row>
      <xdr:rowOff>174914</xdr:rowOff>
    </xdr:from>
    <xdr:ext cx="781050" cy="907596"/>
    <xdr:pic>
      <xdr:nvPicPr>
        <xdr:cNvPr id="7" name="Picture 6" descr="MSE_LOGO blue-1">
          <a:extLst>
            <a:ext uri="{FF2B5EF4-FFF2-40B4-BE49-F238E27FC236}">
              <a16:creationId xmlns:a16="http://schemas.microsoft.com/office/drawing/2014/main" id="{C1F3480D-9AD7-4732-912F-7AF0EDE670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82" y="774989"/>
          <a:ext cx="781050" cy="9075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OMEX%20daily\2026\Gishuun\Ariljaa%20tailan\MC-202608-&#1057;&#1047;&#1061;.xlsx" TargetMode="External"/><Relationship Id="rId1" Type="http://schemas.openxmlformats.org/officeDocument/2006/relationships/externalLinkPath" Target="MC-202608-&#1057;&#1047;&#1061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OMEX%20daily\2026\Gishuun\Ariljaa%20tailan\2026%20&#1086;&#1085;&#1099;%207-&#1088;%20&#1089;&#1072;&#1088;&#1099;&#1085;%20&#1072;&#1088;&#1080;&#1083;&#1078;&#1072;&#1072;&#1085;&#1099;%20&#1090;&#1072;&#1081;&#1083;&#1072;&#1085;.xlsx" TargetMode="External"/><Relationship Id="rId1" Type="http://schemas.openxmlformats.org/officeDocument/2006/relationships/externalLinkPath" Target="2026%20&#1086;&#1085;&#1099;%207-&#1088;%20&#1089;&#1072;&#1088;&#1099;&#1085;%20&#1072;&#1088;&#1080;&#1083;&#1078;&#1072;&#1072;&#1085;&#1099;%20&#1090;&#1072;&#1081;&#1083;&#1072;&#108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C-1.1"/>
      <sheetName val="MC-1.2"/>
      <sheetName val="MC-1.3"/>
      <sheetName val="MC-1.4"/>
      <sheetName val="MC-1.5"/>
      <sheetName val="MC-1.6"/>
      <sheetName val="MC-1.7"/>
      <sheetName val="MC-1.8"/>
      <sheetName val="MC-1.9"/>
      <sheetName val="МС-1.11"/>
      <sheetName val="МС-1.12"/>
    </sheetNames>
    <sheetDataSet>
      <sheetData sheetId="0"/>
      <sheetData sheetId="1"/>
      <sheetData sheetId="2"/>
      <sheetData sheetId="3"/>
      <sheetData sheetId="4"/>
      <sheetData sheetId="5"/>
      <sheetData sheetId="6">
        <row r="8">
          <cell r="B8" t="str">
            <v>ALTN</v>
          </cell>
          <cell r="C8" t="str">
            <v>"Алтан хоромсог ҮЦК" ХХК</v>
          </cell>
          <cell r="D8">
            <v>21</v>
          </cell>
          <cell r="E8">
            <v>1437</v>
          </cell>
          <cell r="F8">
            <v>1671410.95</v>
          </cell>
          <cell r="G8">
            <v>65</v>
          </cell>
          <cell r="H8">
            <v>80327</v>
          </cell>
          <cell r="I8">
            <v>1751737.95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Q8">
            <v>0</v>
          </cell>
          <cell r="S8">
            <v>0</v>
          </cell>
          <cell r="T8">
            <v>1502</v>
          </cell>
          <cell r="U8">
            <v>1751737.95</v>
          </cell>
        </row>
        <row r="9">
          <cell r="B9" t="str">
            <v>ARD</v>
          </cell>
          <cell r="C9" t="str">
            <v>Өлзий энд КО капитал ХХК</v>
          </cell>
          <cell r="D9">
            <v>21</v>
          </cell>
          <cell r="E9">
            <v>916444</v>
          </cell>
          <cell r="F9">
            <v>5920004334.3800001</v>
          </cell>
          <cell r="G9">
            <v>569002</v>
          </cell>
          <cell r="H9">
            <v>5497892890.6300001</v>
          </cell>
          <cell r="I9">
            <v>11417897225.01</v>
          </cell>
          <cell r="J9">
            <v>9</v>
          </cell>
          <cell r="K9">
            <v>750000</v>
          </cell>
          <cell r="L9">
            <v>0</v>
          </cell>
          <cell r="M9">
            <v>0</v>
          </cell>
          <cell r="N9">
            <v>750000</v>
          </cell>
          <cell r="S9">
            <v>0</v>
          </cell>
          <cell r="T9">
            <v>1485455</v>
          </cell>
          <cell r="U9">
            <v>11418647225.01</v>
          </cell>
        </row>
        <row r="10">
          <cell r="B10" t="str">
            <v>ARGB</v>
          </cell>
          <cell r="C10" t="str">
            <v>"Аргай бэст ҮЦК" ХХК</v>
          </cell>
          <cell r="D10">
            <v>11</v>
          </cell>
          <cell r="E10">
            <v>18633</v>
          </cell>
          <cell r="F10">
            <v>21339944.899999999</v>
          </cell>
          <cell r="G10">
            <v>19732</v>
          </cell>
          <cell r="H10">
            <v>22632777</v>
          </cell>
          <cell r="I10">
            <v>43972721.899999999</v>
          </cell>
          <cell r="J10">
            <v>49</v>
          </cell>
          <cell r="K10">
            <v>2450000</v>
          </cell>
          <cell r="L10">
            <v>0</v>
          </cell>
          <cell r="M10">
            <v>0</v>
          </cell>
          <cell r="N10">
            <v>2450000</v>
          </cell>
          <cell r="S10">
            <v>0</v>
          </cell>
          <cell r="T10">
            <v>38414</v>
          </cell>
          <cell r="U10">
            <v>46422721.899999999</v>
          </cell>
        </row>
        <row r="11">
          <cell r="B11" t="str">
            <v>BATS</v>
          </cell>
          <cell r="C11" t="str">
            <v>"Фингейт секьюритис ҮЦК" ХХК</v>
          </cell>
          <cell r="D11">
            <v>1</v>
          </cell>
          <cell r="E11">
            <v>7</v>
          </cell>
          <cell r="F11">
            <v>495.1</v>
          </cell>
          <cell r="G11">
            <v>2</v>
          </cell>
          <cell r="H11">
            <v>141.9</v>
          </cell>
          <cell r="I11">
            <v>637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S11">
            <v>0</v>
          </cell>
          <cell r="T11">
            <v>9</v>
          </cell>
          <cell r="U11">
            <v>637</v>
          </cell>
        </row>
        <row r="12">
          <cell r="B12" t="str">
            <v>BDSC</v>
          </cell>
          <cell r="C12" t="str">
            <v>"БиДиСек ҮЦК" ХК</v>
          </cell>
          <cell r="D12">
            <v>21</v>
          </cell>
          <cell r="E12">
            <v>2481354</v>
          </cell>
          <cell r="F12">
            <v>2185783610.1700001</v>
          </cell>
          <cell r="G12">
            <v>2516299</v>
          </cell>
          <cell r="H12">
            <v>2290321494.6999998</v>
          </cell>
          <cell r="I12">
            <v>4476105104.8699999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47072</v>
          </cell>
          <cell r="P12">
            <v>4521966313.75</v>
          </cell>
          <cell r="S12">
            <v>4521966313.75</v>
          </cell>
          <cell r="T12">
            <v>5044725</v>
          </cell>
          <cell r="U12">
            <v>8998071418.6199989</v>
          </cell>
        </row>
        <row r="13">
          <cell r="B13" t="str">
            <v>BKOC</v>
          </cell>
          <cell r="C13" t="str">
            <v>"Эс жи инвестмент энд секьюритис ҮЦК" ХХК</v>
          </cell>
          <cell r="D13">
            <v>20</v>
          </cell>
          <cell r="E13">
            <v>33539</v>
          </cell>
          <cell r="F13">
            <v>18916719.66</v>
          </cell>
          <cell r="G13">
            <v>188089</v>
          </cell>
          <cell r="H13">
            <v>176103502.75999999</v>
          </cell>
          <cell r="I13">
            <v>195020222.41999999</v>
          </cell>
          <cell r="J13">
            <v>11</v>
          </cell>
          <cell r="K13">
            <v>1100110</v>
          </cell>
          <cell r="L13">
            <v>13</v>
          </cell>
          <cell r="M13">
            <v>1300130</v>
          </cell>
          <cell r="N13">
            <v>2400240</v>
          </cell>
          <cell r="S13">
            <v>0</v>
          </cell>
          <cell r="T13">
            <v>221652</v>
          </cell>
          <cell r="U13">
            <v>197420462.41999999</v>
          </cell>
        </row>
        <row r="14">
          <cell r="B14" t="str">
            <v>BLAC</v>
          </cell>
          <cell r="C14" t="str">
            <v>"Мазаалай капитал партнерс ҮЦК" ХХК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S14">
            <v>0</v>
          </cell>
          <cell r="T14">
            <v>0</v>
          </cell>
          <cell r="U14">
            <v>0</v>
          </cell>
        </row>
        <row r="15">
          <cell r="B15" t="str">
            <v>BSK</v>
          </cell>
          <cell r="C15" t="str">
            <v>"Блюскай секьюритиз ҮЦК" ХХК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S15">
            <v>0</v>
          </cell>
          <cell r="T15">
            <v>0</v>
          </cell>
          <cell r="U15">
            <v>0</v>
          </cell>
        </row>
        <row r="16">
          <cell r="B16" t="str">
            <v>BULG</v>
          </cell>
          <cell r="C16" t="str">
            <v>"Булган брокер ҮЦК" ХХК</v>
          </cell>
          <cell r="D16">
            <v>5</v>
          </cell>
          <cell r="E16">
            <v>469</v>
          </cell>
          <cell r="F16">
            <v>499981</v>
          </cell>
          <cell r="G16">
            <v>13200</v>
          </cell>
          <cell r="H16">
            <v>19800000</v>
          </cell>
          <cell r="I16">
            <v>20299981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S16">
            <v>0</v>
          </cell>
          <cell r="T16">
            <v>13669</v>
          </cell>
          <cell r="U16">
            <v>20299981</v>
          </cell>
        </row>
        <row r="17">
          <cell r="B17" t="str">
            <v>BUMB</v>
          </cell>
          <cell r="C17" t="str">
            <v>"Бумбат-Алтай ҮЦК" ХХК</v>
          </cell>
          <cell r="D17">
            <v>21</v>
          </cell>
          <cell r="E17">
            <v>546902</v>
          </cell>
          <cell r="F17">
            <v>195155092.06</v>
          </cell>
          <cell r="G17">
            <v>434762</v>
          </cell>
          <cell r="H17">
            <v>121338219.26000001</v>
          </cell>
          <cell r="I17">
            <v>316493311.31999999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S17">
            <v>0</v>
          </cell>
          <cell r="T17">
            <v>981664</v>
          </cell>
          <cell r="U17">
            <v>316493311.31999999</v>
          </cell>
        </row>
        <row r="18">
          <cell r="B18" t="str">
            <v>BZIN</v>
          </cell>
          <cell r="C18" t="str">
            <v>"Мирэ Эссет Секьюритис Монгол ҮЦК" ХХК</v>
          </cell>
          <cell r="D18">
            <v>21</v>
          </cell>
          <cell r="E18">
            <v>79884</v>
          </cell>
          <cell r="F18">
            <v>69586760.150000006</v>
          </cell>
          <cell r="G18">
            <v>159800</v>
          </cell>
          <cell r="H18">
            <v>381387518.42000002</v>
          </cell>
          <cell r="I18">
            <v>450974278.57000005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S18">
            <v>0</v>
          </cell>
          <cell r="T18">
            <v>239684</v>
          </cell>
          <cell r="U18">
            <v>450974278.57000005</v>
          </cell>
        </row>
        <row r="19">
          <cell r="B19" t="str">
            <v>CTRL</v>
          </cell>
          <cell r="C19" t="str">
            <v>"Централ секьюритийз ҮЦК" ХХК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S19">
            <v>0</v>
          </cell>
          <cell r="T19">
            <v>0</v>
          </cell>
          <cell r="U19">
            <v>0</v>
          </cell>
        </row>
        <row r="20">
          <cell r="B20" t="str">
            <v>DCF</v>
          </cell>
          <cell r="C20" t="str">
            <v>"Ди Си Эф ҮЦК" ХХК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S20">
            <v>0</v>
          </cell>
          <cell r="T20">
            <v>0</v>
          </cell>
          <cell r="U20">
            <v>0</v>
          </cell>
        </row>
        <row r="21">
          <cell r="B21" t="str">
            <v>DELG</v>
          </cell>
          <cell r="C21" t="str">
            <v>"Ди Эйч капитал ҮЦК" ХХК</v>
          </cell>
          <cell r="D21">
            <v>3</v>
          </cell>
          <cell r="E21">
            <v>1574</v>
          </cell>
          <cell r="F21">
            <v>827462</v>
          </cell>
          <cell r="G21">
            <v>203832</v>
          </cell>
          <cell r="H21">
            <v>74222511.060000002</v>
          </cell>
          <cell r="I21">
            <v>75049973.060000002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S21">
            <v>0</v>
          </cell>
          <cell r="T21">
            <v>205406</v>
          </cell>
          <cell r="U21">
            <v>75049973.060000002</v>
          </cell>
        </row>
        <row r="22">
          <cell r="B22" t="str">
            <v>DOMI</v>
          </cell>
          <cell r="C22" t="str">
            <v>"Домикс сек ҮЦК" ХХК</v>
          </cell>
          <cell r="D22">
            <v>6</v>
          </cell>
          <cell r="E22">
            <v>3584</v>
          </cell>
          <cell r="F22">
            <v>438989.45</v>
          </cell>
          <cell r="G22">
            <v>4670</v>
          </cell>
          <cell r="H22">
            <v>919200</v>
          </cell>
          <cell r="I22">
            <v>1358189.45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S22">
            <v>0</v>
          </cell>
          <cell r="T22">
            <v>8254</v>
          </cell>
          <cell r="U22">
            <v>1358189.45</v>
          </cell>
        </row>
        <row r="23">
          <cell r="B23" t="str">
            <v>DRBR</v>
          </cell>
          <cell r="C23" t="str">
            <v>"Дархан брокер ҮЦК" ХХК</v>
          </cell>
          <cell r="D23">
            <v>20</v>
          </cell>
          <cell r="E23">
            <v>33426</v>
          </cell>
          <cell r="F23">
            <v>31808391.23</v>
          </cell>
          <cell r="G23">
            <v>71963</v>
          </cell>
          <cell r="H23">
            <v>16648448.65</v>
          </cell>
          <cell r="I23">
            <v>48456839.880000003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S23">
            <v>0</v>
          </cell>
          <cell r="T23">
            <v>105389</v>
          </cell>
          <cell r="U23">
            <v>48456839.880000003</v>
          </cell>
        </row>
        <row r="24">
          <cell r="B24" t="str">
            <v>ECM</v>
          </cell>
          <cell r="C24" t="str">
            <v>"Евразиа капитал монголиа ҮЦК" ХХК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S24">
            <v>0</v>
          </cell>
          <cell r="T24">
            <v>0</v>
          </cell>
          <cell r="U24">
            <v>0</v>
          </cell>
        </row>
        <row r="25">
          <cell r="B25" t="str">
            <v>GATR</v>
          </cell>
          <cell r="C25" t="str">
            <v>"Гацуурт трейд ҮЦК"ХХК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S25">
            <v>0</v>
          </cell>
          <cell r="T25">
            <v>0</v>
          </cell>
          <cell r="U25">
            <v>0</v>
          </cell>
        </row>
        <row r="26">
          <cell r="B26" t="str">
            <v>GAUL</v>
          </cell>
          <cell r="C26" t="str">
            <v>"Гаүли ҮЦК"ХХК</v>
          </cell>
          <cell r="D26">
            <v>18</v>
          </cell>
          <cell r="E26">
            <v>2543</v>
          </cell>
          <cell r="F26">
            <v>2028259.84</v>
          </cell>
          <cell r="G26">
            <v>53674</v>
          </cell>
          <cell r="H26">
            <v>20572883.300000001</v>
          </cell>
          <cell r="I26">
            <v>22601143.140000001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S26">
            <v>0</v>
          </cell>
          <cell r="T26">
            <v>56217</v>
          </cell>
          <cell r="U26">
            <v>22601143.140000001</v>
          </cell>
        </row>
        <row r="27">
          <cell r="B27" t="str">
            <v>GDEV</v>
          </cell>
          <cell r="C27" t="str">
            <v>"Гранддевелопмент ҮЦК" ХХК</v>
          </cell>
          <cell r="D27">
            <v>19</v>
          </cell>
          <cell r="E27">
            <v>968031</v>
          </cell>
          <cell r="F27">
            <v>340635763.38</v>
          </cell>
          <cell r="G27">
            <v>169837</v>
          </cell>
          <cell r="H27">
            <v>44488923.18</v>
          </cell>
          <cell r="I27">
            <v>385124686.56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S27">
            <v>0</v>
          </cell>
          <cell r="T27">
            <v>1137868</v>
          </cell>
          <cell r="U27">
            <v>385124686.56</v>
          </cell>
        </row>
        <row r="28">
          <cell r="B28" t="str">
            <v>GDSC</v>
          </cell>
          <cell r="C28" t="str">
            <v>"Гүүдсек ҮЦК" ХХК</v>
          </cell>
          <cell r="D28">
            <v>21</v>
          </cell>
          <cell r="E28">
            <v>641549</v>
          </cell>
          <cell r="F28">
            <v>225110314.58000001</v>
          </cell>
          <cell r="G28">
            <v>256840</v>
          </cell>
          <cell r="H28">
            <v>158591454.77000001</v>
          </cell>
          <cell r="I28">
            <v>383701769.35000002</v>
          </cell>
          <cell r="J28">
            <v>2</v>
          </cell>
          <cell r="K28">
            <v>200000</v>
          </cell>
          <cell r="L28">
            <v>0</v>
          </cell>
          <cell r="M28">
            <v>0</v>
          </cell>
          <cell r="N28">
            <v>200000</v>
          </cell>
          <cell r="O28">
            <v>100</v>
          </cell>
          <cell r="P28">
            <v>10000000</v>
          </cell>
          <cell r="S28">
            <v>10000000</v>
          </cell>
          <cell r="T28">
            <v>898491</v>
          </cell>
          <cell r="U28">
            <v>393901769.35000002</v>
          </cell>
        </row>
        <row r="29">
          <cell r="B29" t="str">
            <v>GLMT</v>
          </cell>
          <cell r="C29" t="str">
            <v>"Голомт Капитал ҮЦК" ХХК</v>
          </cell>
          <cell r="D29">
            <v>21</v>
          </cell>
          <cell r="E29">
            <v>3976611</v>
          </cell>
          <cell r="F29">
            <v>2134422731.98</v>
          </cell>
          <cell r="G29">
            <v>5090650</v>
          </cell>
          <cell r="H29">
            <v>2427164263.4200001</v>
          </cell>
          <cell r="I29">
            <v>4561586995.3999996</v>
          </cell>
          <cell r="J29">
            <v>5450</v>
          </cell>
          <cell r="K29">
            <v>411475510</v>
          </cell>
          <cell r="L29">
            <v>5477</v>
          </cell>
          <cell r="M29">
            <v>413925510</v>
          </cell>
          <cell r="N29">
            <v>825401020</v>
          </cell>
          <cell r="O29">
            <v>44738</v>
          </cell>
          <cell r="P29">
            <v>4314444473.3500004</v>
          </cell>
          <cell r="S29">
            <v>4314444473.3500004</v>
          </cell>
          <cell r="T29">
            <v>9122926</v>
          </cell>
          <cell r="U29">
            <v>9701432488.75</v>
          </cell>
        </row>
        <row r="30">
          <cell r="B30" t="str">
            <v>HUN</v>
          </cell>
          <cell r="C30" t="str">
            <v>"Хүннү Эмпайр ҮЦК" ХХК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S30">
            <v>0</v>
          </cell>
          <cell r="T30">
            <v>0</v>
          </cell>
          <cell r="U30">
            <v>0</v>
          </cell>
        </row>
        <row r="31">
          <cell r="B31" t="str">
            <v>INVC</v>
          </cell>
          <cell r="C31" t="str">
            <v>"Инвескор капитал ҮЦК" ХХК</v>
          </cell>
          <cell r="D31">
            <v>21</v>
          </cell>
          <cell r="E31">
            <v>30162670</v>
          </cell>
          <cell r="F31">
            <v>15839888886.690001</v>
          </cell>
          <cell r="G31">
            <v>29617082</v>
          </cell>
          <cell r="H31">
            <v>15707613215.690001</v>
          </cell>
          <cell r="I31">
            <v>31547502102.380001</v>
          </cell>
          <cell r="J31">
            <v>293</v>
          </cell>
          <cell r="K31">
            <v>29287190</v>
          </cell>
          <cell r="L31">
            <v>306</v>
          </cell>
          <cell r="M31">
            <v>30587190</v>
          </cell>
          <cell r="N31">
            <v>59874380</v>
          </cell>
          <cell r="S31">
            <v>0</v>
          </cell>
          <cell r="T31">
            <v>59780351</v>
          </cell>
          <cell r="U31">
            <v>31607376482.380001</v>
          </cell>
        </row>
        <row r="32">
          <cell r="B32" t="str">
            <v>LFTI</v>
          </cell>
          <cell r="C32" t="str">
            <v>"Лайфтайм инвестмент ҮЦК" ХХК</v>
          </cell>
          <cell r="D32">
            <v>7</v>
          </cell>
          <cell r="E32">
            <v>4657</v>
          </cell>
          <cell r="F32">
            <v>193184280</v>
          </cell>
          <cell r="G32">
            <v>0</v>
          </cell>
          <cell r="H32">
            <v>0</v>
          </cell>
          <cell r="I32">
            <v>193184280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S32">
            <v>0</v>
          </cell>
          <cell r="T32">
            <v>4657</v>
          </cell>
          <cell r="U32">
            <v>193184280</v>
          </cell>
        </row>
        <row r="33">
          <cell r="B33" t="str">
            <v>MERG</v>
          </cell>
          <cell r="C33" t="str">
            <v>"Мэргэн санаа ҮЦК" ХХК</v>
          </cell>
          <cell r="D33">
            <v>5</v>
          </cell>
          <cell r="E33">
            <v>3755</v>
          </cell>
          <cell r="F33">
            <v>712285</v>
          </cell>
          <cell r="G33">
            <v>1522</v>
          </cell>
          <cell r="H33">
            <v>1632047</v>
          </cell>
          <cell r="I33">
            <v>2344332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S33">
            <v>0</v>
          </cell>
          <cell r="T33">
            <v>5277</v>
          </cell>
          <cell r="U33">
            <v>2344332</v>
          </cell>
        </row>
        <row r="34">
          <cell r="B34" t="str">
            <v>MIBG</v>
          </cell>
          <cell r="C34" t="str">
            <v>"Мандал Капитал Маркетс ҮЦК" ХХК</v>
          </cell>
          <cell r="D34">
            <v>21</v>
          </cell>
          <cell r="E34">
            <v>1156440</v>
          </cell>
          <cell r="F34">
            <v>914566724.41999996</v>
          </cell>
          <cell r="G34">
            <v>456703</v>
          </cell>
          <cell r="H34">
            <v>251509282.53999999</v>
          </cell>
          <cell r="I34">
            <v>1166076006.96</v>
          </cell>
          <cell r="J34">
            <v>2</v>
          </cell>
          <cell r="K34">
            <v>200000</v>
          </cell>
          <cell r="L34">
            <v>2</v>
          </cell>
          <cell r="M34">
            <v>200000</v>
          </cell>
          <cell r="N34">
            <v>400000</v>
          </cell>
          <cell r="O34">
            <v>62500</v>
          </cell>
          <cell r="P34">
            <v>6089896875</v>
          </cell>
          <cell r="S34">
            <v>6089896875</v>
          </cell>
          <cell r="T34">
            <v>1675647</v>
          </cell>
          <cell r="U34">
            <v>7256372881.96</v>
          </cell>
        </row>
        <row r="35">
          <cell r="B35" t="str">
            <v>MICC</v>
          </cell>
          <cell r="C35" t="str">
            <v>"Эм Ай Си Си ҮЦК" ХХК</v>
          </cell>
          <cell r="D35">
            <v>21</v>
          </cell>
          <cell r="E35">
            <v>18581</v>
          </cell>
          <cell r="F35">
            <v>10440985.59</v>
          </cell>
          <cell r="G35">
            <v>1678987</v>
          </cell>
          <cell r="H35">
            <v>22936347.989999998</v>
          </cell>
          <cell r="I35">
            <v>33377333.579999998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S35">
            <v>0</v>
          </cell>
          <cell r="T35">
            <v>1697568</v>
          </cell>
          <cell r="U35">
            <v>33377333.579999998</v>
          </cell>
        </row>
        <row r="36">
          <cell r="B36" t="str">
            <v>MNET</v>
          </cell>
          <cell r="C36" t="str">
            <v>"Ард секюритиз ҮЦК" ХХК</v>
          </cell>
          <cell r="D36">
            <v>21</v>
          </cell>
          <cell r="E36">
            <v>4796377</v>
          </cell>
          <cell r="F36">
            <v>2005952677.97</v>
          </cell>
          <cell r="G36">
            <v>2757027</v>
          </cell>
          <cell r="H36">
            <v>1193477448.3399999</v>
          </cell>
          <cell r="I36">
            <v>3199430126.3099999</v>
          </cell>
          <cell r="J36">
            <v>440</v>
          </cell>
          <cell r="K36">
            <v>44000000</v>
          </cell>
          <cell r="L36">
            <v>0</v>
          </cell>
          <cell r="M36">
            <v>0</v>
          </cell>
          <cell r="N36">
            <v>44000000</v>
          </cell>
          <cell r="S36">
            <v>0</v>
          </cell>
          <cell r="T36">
            <v>7553844</v>
          </cell>
          <cell r="U36">
            <v>3243430126.3099999</v>
          </cell>
        </row>
        <row r="37">
          <cell r="B37" t="str">
            <v>MONG</v>
          </cell>
          <cell r="C37" t="str">
            <v>"Монгол секюритиес ҮЦК" ХК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S37">
            <v>0</v>
          </cell>
          <cell r="T37">
            <v>0</v>
          </cell>
          <cell r="U37">
            <v>0</v>
          </cell>
        </row>
        <row r="38">
          <cell r="B38" t="str">
            <v>MSDQ</v>
          </cell>
          <cell r="C38" t="str">
            <v>"Масдак ҮЦК" ХХК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S38">
            <v>0</v>
          </cell>
          <cell r="T38">
            <v>0</v>
          </cell>
          <cell r="U38">
            <v>0</v>
          </cell>
        </row>
        <row r="39">
          <cell r="B39" t="str">
            <v>MSEC</v>
          </cell>
          <cell r="C39" t="str">
            <v>"Монсек ҮЦК" ХХК</v>
          </cell>
          <cell r="D39">
            <v>21</v>
          </cell>
          <cell r="E39">
            <v>65915</v>
          </cell>
          <cell r="F39">
            <v>26684208.039999999</v>
          </cell>
          <cell r="G39">
            <v>48399</v>
          </cell>
          <cell r="H39">
            <v>242535471.24000001</v>
          </cell>
          <cell r="I39">
            <v>269219679.28000003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S39">
            <v>0</v>
          </cell>
          <cell r="T39">
            <v>114314</v>
          </cell>
          <cell r="U39">
            <v>269219679.28000003</v>
          </cell>
        </row>
        <row r="40">
          <cell r="B40" t="str">
            <v>MSSC</v>
          </cell>
          <cell r="C40" t="str">
            <v>"М Секьюритис ҮЦК" ХХК</v>
          </cell>
          <cell r="D40">
            <v>16</v>
          </cell>
          <cell r="E40">
            <v>20296</v>
          </cell>
          <cell r="F40">
            <v>9817004.5899999999</v>
          </cell>
          <cell r="G40">
            <v>184</v>
          </cell>
          <cell r="H40">
            <v>153970.06</v>
          </cell>
          <cell r="I40">
            <v>9970974.6500000004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S40">
            <v>0</v>
          </cell>
          <cell r="T40">
            <v>20480</v>
          </cell>
          <cell r="U40">
            <v>9970974.6500000004</v>
          </cell>
        </row>
        <row r="41">
          <cell r="B41" t="str">
            <v>NOVL</v>
          </cell>
          <cell r="C41" t="str">
            <v>"Новел инвестмент ҮЦК" ХХК</v>
          </cell>
          <cell r="D41">
            <v>21</v>
          </cell>
          <cell r="E41">
            <v>22476</v>
          </cell>
          <cell r="F41">
            <v>15012954.029999999</v>
          </cell>
          <cell r="G41">
            <v>147363</v>
          </cell>
          <cell r="H41">
            <v>65772602.93</v>
          </cell>
          <cell r="I41">
            <v>80785556.959999993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S41">
            <v>0</v>
          </cell>
          <cell r="T41">
            <v>169839</v>
          </cell>
          <cell r="U41">
            <v>80785556.959999993</v>
          </cell>
        </row>
        <row r="42">
          <cell r="B42" t="str">
            <v>NSEC</v>
          </cell>
          <cell r="C42" t="str">
            <v>"Нэйшнл сэкюритис ҮЦК" ХХК</v>
          </cell>
          <cell r="D42">
            <v>11</v>
          </cell>
          <cell r="E42">
            <v>875</v>
          </cell>
          <cell r="F42">
            <v>848374.21</v>
          </cell>
          <cell r="G42">
            <v>38644</v>
          </cell>
          <cell r="H42">
            <v>7411182.5</v>
          </cell>
          <cell r="I42">
            <v>8259556.71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S42">
            <v>0</v>
          </cell>
          <cell r="T42">
            <v>39519</v>
          </cell>
          <cell r="U42">
            <v>8259556.71</v>
          </cell>
        </row>
        <row r="43">
          <cell r="B43" t="str">
            <v>RISM</v>
          </cell>
          <cell r="C43" t="str">
            <v>"Райнос инвестмент ҮЦК" ХХК</v>
          </cell>
          <cell r="D43">
            <v>21</v>
          </cell>
          <cell r="E43">
            <v>646257</v>
          </cell>
          <cell r="F43">
            <v>436903729.12</v>
          </cell>
          <cell r="G43">
            <v>473893</v>
          </cell>
          <cell r="H43">
            <v>341738983.82999998</v>
          </cell>
          <cell r="I43">
            <v>778642712.95000005</v>
          </cell>
          <cell r="J43">
            <v>5</v>
          </cell>
          <cell r="K43">
            <v>500500</v>
          </cell>
          <cell r="L43">
            <v>0</v>
          </cell>
          <cell r="M43">
            <v>0</v>
          </cell>
          <cell r="N43">
            <v>500500</v>
          </cell>
          <cell r="S43">
            <v>0</v>
          </cell>
          <cell r="T43">
            <v>1120155</v>
          </cell>
          <cell r="U43">
            <v>779143212.95000005</v>
          </cell>
        </row>
        <row r="44">
          <cell r="B44" t="str">
            <v>SANR</v>
          </cell>
          <cell r="C44" t="str">
            <v>"Санар ҮЦК" ХХК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S44">
            <v>0</v>
          </cell>
          <cell r="T44">
            <v>0</v>
          </cell>
          <cell r="U44">
            <v>0</v>
          </cell>
        </row>
        <row r="45">
          <cell r="B45" t="str">
            <v>SECP</v>
          </cell>
          <cell r="C45" t="str">
            <v>"Сикап ҮЦК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S45">
            <v>0</v>
          </cell>
          <cell r="T45">
            <v>0</v>
          </cell>
          <cell r="U45">
            <v>0</v>
          </cell>
        </row>
        <row r="46">
          <cell r="B46" t="str">
            <v>SGC</v>
          </cell>
          <cell r="C46" t="str">
            <v>"Эс Жи Капитал ҮЦК" ХХК</v>
          </cell>
          <cell r="D46">
            <v>20</v>
          </cell>
          <cell r="E46">
            <v>57545</v>
          </cell>
          <cell r="F46">
            <v>12000012.359999999</v>
          </cell>
          <cell r="G46">
            <v>2946</v>
          </cell>
          <cell r="H46">
            <v>3291879.31</v>
          </cell>
          <cell r="I46">
            <v>15291891.67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S46">
            <v>0</v>
          </cell>
          <cell r="T46">
            <v>60491</v>
          </cell>
          <cell r="U46">
            <v>15291891.67</v>
          </cell>
        </row>
        <row r="47">
          <cell r="B47" t="str">
            <v>SILS</v>
          </cell>
          <cell r="C47" t="str">
            <v>"Силвэр лайт секюритиз ҮЦК" ХХК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S47">
            <v>0</v>
          </cell>
          <cell r="T47">
            <v>0</v>
          </cell>
          <cell r="U47">
            <v>0</v>
          </cell>
        </row>
        <row r="48">
          <cell r="B48" t="str">
            <v>STIN</v>
          </cell>
          <cell r="C48" t="str">
            <v>"Стандарт инвестмент ҮЦК" ХХК</v>
          </cell>
          <cell r="D48">
            <v>21</v>
          </cell>
          <cell r="E48">
            <v>932648</v>
          </cell>
          <cell r="F48">
            <v>586903722.32000005</v>
          </cell>
          <cell r="G48">
            <v>207720</v>
          </cell>
          <cell r="H48">
            <v>101424666.3</v>
          </cell>
          <cell r="I48">
            <v>688328388.62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25</v>
          </cell>
          <cell r="P48">
            <v>2387806.75</v>
          </cell>
          <cell r="S48">
            <v>2387806.75</v>
          </cell>
          <cell r="T48">
            <v>1140393</v>
          </cell>
          <cell r="U48">
            <v>690716195.37</v>
          </cell>
        </row>
        <row r="49">
          <cell r="B49" t="str">
            <v>STOK</v>
          </cell>
          <cell r="C49" t="str">
            <v>"Стоклаб секьюритиз ҮЦК" ХХК</v>
          </cell>
          <cell r="D49">
            <v>21</v>
          </cell>
          <cell r="E49">
            <v>483144</v>
          </cell>
          <cell r="F49">
            <v>149879584.87</v>
          </cell>
          <cell r="G49">
            <v>577005</v>
          </cell>
          <cell r="H49">
            <v>139593045.30000001</v>
          </cell>
          <cell r="I49">
            <v>289472630.17000002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25000</v>
          </cell>
          <cell r="P49">
            <v>2465278875</v>
          </cell>
          <cell r="S49">
            <v>2465278875</v>
          </cell>
          <cell r="T49">
            <v>1085149</v>
          </cell>
          <cell r="U49">
            <v>2754751505.1700001</v>
          </cell>
        </row>
        <row r="50">
          <cell r="B50" t="str">
            <v>TABO</v>
          </cell>
          <cell r="C50" t="str">
            <v>"Таван богд ҮЦК" ХХК</v>
          </cell>
          <cell r="D50">
            <v>6</v>
          </cell>
          <cell r="E50">
            <v>1690</v>
          </cell>
          <cell r="F50">
            <v>2321194</v>
          </cell>
          <cell r="G50">
            <v>26412</v>
          </cell>
          <cell r="H50">
            <v>6225949.3700000001</v>
          </cell>
          <cell r="I50">
            <v>8547143.370000001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S50">
            <v>0</v>
          </cell>
          <cell r="T50">
            <v>28102</v>
          </cell>
          <cell r="U50">
            <v>8547143.370000001</v>
          </cell>
        </row>
        <row r="51">
          <cell r="B51" t="str">
            <v>TCHB</v>
          </cell>
          <cell r="C51" t="str">
            <v>"Тулгат чандмань баян ҮЦК" ХХК</v>
          </cell>
          <cell r="D51">
            <v>12</v>
          </cell>
          <cell r="E51">
            <v>14663</v>
          </cell>
          <cell r="F51">
            <v>22013051.359999999</v>
          </cell>
          <cell r="G51">
            <v>0</v>
          </cell>
          <cell r="H51">
            <v>0</v>
          </cell>
          <cell r="I51">
            <v>22013051.359999999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S51">
            <v>0</v>
          </cell>
          <cell r="T51">
            <v>14663</v>
          </cell>
          <cell r="U51">
            <v>22013051.359999999</v>
          </cell>
        </row>
        <row r="52">
          <cell r="B52" t="str">
            <v>TDB</v>
          </cell>
          <cell r="C52" t="str">
            <v>"Ти ди би секьюритис ҮЦК" ХХК</v>
          </cell>
          <cell r="D52">
            <v>21</v>
          </cell>
          <cell r="E52">
            <v>1668956</v>
          </cell>
          <cell r="F52">
            <v>1062167834.16</v>
          </cell>
          <cell r="G52">
            <v>2976461</v>
          </cell>
          <cell r="H52">
            <v>1817022798.5599999</v>
          </cell>
          <cell r="I52">
            <v>2879190632.7199998</v>
          </cell>
          <cell r="J52">
            <v>4030</v>
          </cell>
          <cell r="K52">
            <v>1263047391</v>
          </cell>
          <cell r="L52">
            <v>4410</v>
          </cell>
          <cell r="M52">
            <v>1298602891</v>
          </cell>
          <cell r="N52">
            <v>2561650282</v>
          </cell>
          <cell r="O52">
            <v>20565</v>
          </cell>
          <cell r="P52">
            <v>1945846305.55</v>
          </cell>
          <cell r="S52">
            <v>1945846305.55</v>
          </cell>
          <cell r="T52">
            <v>4674422</v>
          </cell>
          <cell r="U52">
            <v>7386687220.2699995</v>
          </cell>
        </row>
        <row r="53">
          <cell r="B53" t="str">
            <v>TNGR</v>
          </cell>
          <cell r="C53" t="str">
            <v>"Тэнгэр капитал ҮЦК" ХХК</v>
          </cell>
          <cell r="D53">
            <v>21</v>
          </cell>
          <cell r="E53">
            <v>37890</v>
          </cell>
          <cell r="F53">
            <v>23460767.93</v>
          </cell>
          <cell r="G53">
            <v>9899</v>
          </cell>
          <cell r="H53">
            <v>13734134.300000001</v>
          </cell>
          <cell r="I53">
            <v>37194902.230000004</v>
          </cell>
          <cell r="J53">
            <v>6037</v>
          </cell>
          <cell r="K53">
            <v>452775000</v>
          </cell>
          <cell r="L53">
            <v>6033</v>
          </cell>
          <cell r="M53">
            <v>452475000</v>
          </cell>
          <cell r="N53">
            <v>905250000</v>
          </cell>
          <cell r="S53">
            <v>0</v>
          </cell>
          <cell r="T53">
            <v>59859</v>
          </cell>
          <cell r="U53">
            <v>942444902.2299999</v>
          </cell>
        </row>
        <row r="54">
          <cell r="B54" t="str">
            <v>TTOL</v>
          </cell>
          <cell r="C54" t="str">
            <v>"Апекс Капитал ҮЦК" ХХК</v>
          </cell>
          <cell r="D54">
            <v>21</v>
          </cell>
          <cell r="E54">
            <v>1204462</v>
          </cell>
          <cell r="F54">
            <v>620119487.72000003</v>
          </cell>
          <cell r="G54">
            <v>1425617</v>
          </cell>
          <cell r="H54">
            <v>1587030666.6900001</v>
          </cell>
          <cell r="I54">
            <v>2207150154.4099998</v>
          </cell>
          <cell r="J54">
            <v>728</v>
          </cell>
          <cell r="K54">
            <v>37746020</v>
          </cell>
          <cell r="L54">
            <v>721</v>
          </cell>
          <cell r="M54">
            <v>37046000</v>
          </cell>
          <cell r="N54">
            <v>74792020</v>
          </cell>
          <cell r="S54">
            <v>0</v>
          </cell>
          <cell r="T54">
            <v>2631528</v>
          </cell>
          <cell r="U54">
            <v>2281942174.4099998</v>
          </cell>
        </row>
        <row r="55">
          <cell r="B55" t="str">
            <v>UNDR</v>
          </cell>
          <cell r="C55" t="str">
            <v>"Өндөрхаан инвест ҮЦК" ХХК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S55">
            <v>0</v>
          </cell>
          <cell r="T55">
            <v>0</v>
          </cell>
          <cell r="U55">
            <v>0</v>
          </cell>
        </row>
        <row r="56">
          <cell r="B56" t="str">
            <v>UNET</v>
          </cell>
          <cell r="C56" t="str">
            <v>"Үнэт секьюритиc ҮЦК" ХХК</v>
          </cell>
          <cell r="D56">
            <v>21</v>
          </cell>
          <cell r="E56">
            <v>899095</v>
          </cell>
          <cell r="F56">
            <v>423038337.94999999</v>
          </cell>
          <cell r="G56">
            <v>737047</v>
          </cell>
          <cell r="H56">
            <v>276990646.5</v>
          </cell>
          <cell r="I56">
            <v>700028984.45000005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S56">
            <v>0</v>
          </cell>
          <cell r="T56">
            <v>1636142</v>
          </cell>
          <cell r="U56">
            <v>700028984.45000005</v>
          </cell>
        </row>
        <row r="57">
          <cell r="B57" t="str">
            <v>VTCM</v>
          </cell>
          <cell r="C57" t="str">
            <v>"Монтре капитал ҮЦК" ХХК</v>
          </cell>
          <cell r="D57">
            <v>20</v>
          </cell>
          <cell r="E57">
            <v>16257</v>
          </cell>
          <cell r="F57">
            <v>14992816.310000001</v>
          </cell>
          <cell r="G57">
            <v>20233</v>
          </cell>
          <cell r="H57">
            <v>17123099.5</v>
          </cell>
          <cell r="I57">
            <v>32115915.810000002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S57">
            <v>0</v>
          </cell>
          <cell r="T57">
            <v>36490</v>
          </cell>
          <cell r="U57">
            <v>32115915.810000002</v>
          </cell>
        </row>
        <row r="58">
          <cell r="B58" t="str">
            <v>ZGB</v>
          </cell>
          <cell r="C58" t="str">
            <v>Таван Богд Капитал ХХК</v>
          </cell>
          <cell r="D58">
            <v>21</v>
          </cell>
          <cell r="E58">
            <v>1745574</v>
          </cell>
          <cell r="F58">
            <v>1114769444.9100001</v>
          </cell>
          <cell r="G58">
            <v>2716978</v>
          </cell>
          <cell r="H58">
            <v>1589523035.78</v>
          </cell>
          <cell r="I58">
            <v>2704292480.6900001</v>
          </cell>
          <cell r="J58">
            <v>8465</v>
          </cell>
          <cell r="K58">
            <v>778087370</v>
          </cell>
          <cell r="L58">
            <v>8559</v>
          </cell>
          <cell r="M58">
            <v>787482370</v>
          </cell>
          <cell r="N58">
            <v>1565569740</v>
          </cell>
          <cell r="S58">
            <v>0</v>
          </cell>
          <cell r="T58">
            <v>4479576</v>
          </cell>
          <cell r="U58">
            <v>4269862220.6899996</v>
          </cell>
        </row>
        <row r="59">
          <cell r="B59" t="str">
            <v>ZRGD</v>
          </cell>
          <cell r="C59" t="str">
            <v>"Нэтсек ҮЦК" ХХК</v>
          </cell>
          <cell r="D59">
            <v>11</v>
          </cell>
          <cell r="E59">
            <v>12213</v>
          </cell>
          <cell r="F59">
            <v>6701090.4000000004</v>
          </cell>
          <cell r="G59">
            <v>5884</v>
          </cell>
          <cell r="H59">
            <v>1704685</v>
          </cell>
          <cell r="I59">
            <v>8405775.4000000004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S59">
            <v>0</v>
          </cell>
          <cell r="T59">
            <v>18097</v>
          </cell>
          <cell r="U59">
            <v>8405775.4000000004</v>
          </cell>
        </row>
      </sheetData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6 сар"/>
    </sheetNames>
    <sheetDataSet>
      <sheetData sheetId="0">
        <row r="14">
          <cell r="B14" t="str">
            <v>GLMT</v>
          </cell>
          <cell r="C14" t="str">
            <v>"ГОЛОМТ КАПИТАЛ ҮЦК" ХХК</v>
          </cell>
          <cell r="D14" t="str">
            <v>●</v>
          </cell>
          <cell r="E14" t="str">
            <v>●</v>
          </cell>
          <cell r="F14" t="str">
            <v>●</v>
          </cell>
          <cell r="G14">
            <v>4634516945</v>
          </cell>
          <cell r="H14">
            <v>2887838690.7399998</v>
          </cell>
          <cell r="I14">
            <v>12687400652</v>
          </cell>
          <cell r="J14">
            <v>20209756287.739998</v>
          </cell>
          <cell r="K14">
            <v>409432079806.64008</v>
          </cell>
        </row>
        <row r="15">
          <cell r="B15" t="str">
            <v>TDB</v>
          </cell>
          <cell r="C15" t="str">
            <v>"ТИ ДИ БИ СЕКЬЮРИТИЗ ҮЦК" ХХК</v>
          </cell>
          <cell r="D15" t="str">
            <v>●</v>
          </cell>
          <cell r="E15" t="str">
            <v>●</v>
          </cell>
          <cell r="F15" t="str">
            <v>●</v>
          </cell>
          <cell r="G15">
            <v>1244798625</v>
          </cell>
          <cell r="H15">
            <v>1119419792.1600001</v>
          </cell>
          <cell r="I15">
            <v>18153311414</v>
          </cell>
          <cell r="J15">
            <v>20517529831.16</v>
          </cell>
          <cell r="K15">
            <v>281499899144.48999</v>
          </cell>
        </row>
        <row r="16">
          <cell r="B16" t="str">
            <v>MIBG</v>
          </cell>
          <cell r="C16" t="str">
            <v>"МАНДАЛ КАПИТАЛ МАРКЕТС ҮЦК" ХХК</v>
          </cell>
          <cell r="D16" t="str">
            <v>●</v>
          </cell>
          <cell r="E16" t="str">
            <v>●</v>
          </cell>
          <cell r="F16" t="str">
            <v>●</v>
          </cell>
          <cell r="G16">
            <v>4014498762.5</v>
          </cell>
          <cell r="H16">
            <v>1438750764.96</v>
          </cell>
          <cell r="I16">
            <v>31000000</v>
          </cell>
          <cell r="J16">
            <v>5484249527.46</v>
          </cell>
          <cell r="K16">
            <v>215257249427.51999</v>
          </cell>
        </row>
        <row r="17">
          <cell r="B17" t="str">
            <v>MICC</v>
          </cell>
          <cell r="C17" t="str">
            <v>"ЭМ АЙ СИ СИ  ҮЦК" ХХК</v>
          </cell>
          <cell r="D17" t="str">
            <v>●</v>
          </cell>
          <cell r="E17" t="str">
            <v>●</v>
          </cell>
          <cell r="G17">
            <v>0</v>
          </cell>
          <cell r="H17">
            <v>12221775.24</v>
          </cell>
          <cell r="I17">
            <v>0</v>
          </cell>
          <cell r="J17">
            <v>12221775.24</v>
          </cell>
          <cell r="K17">
            <v>200275813550.37</v>
          </cell>
        </row>
        <row r="18">
          <cell r="B18" t="str">
            <v>ZGB</v>
          </cell>
          <cell r="C18" t="str">
            <v>"ТАВАНБОГД КАПИТАЛ ҮЦК" ХХК</v>
          </cell>
          <cell r="D18" t="str">
            <v>●</v>
          </cell>
          <cell r="E18" t="str">
            <v>●</v>
          </cell>
          <cell r="F18" t="str">
            <v>●</v>
          </cell>
          <cell r="G18">
            <v>0</v>
          </cell>
          <cell r="H18">
            <v>1090940398.4400001</v>
          </cell>
          <cell r="I18">
            <v>114499940</v>
          </cell>
          <cell r="J18">
            <v>1205440338.4400001</v>
          </cell>
          <cell r="K18">
            <v>145362721388.03</v>
          </cell>
        </row>
        <row r="19">
          <cell r="B19" t="str">
            <v>INVC</v>
          </cell>
          <cell r="C19" t="str">
            <v>"ИНВЕСКОР КАПИТАЛ ҮЦК" ХХК</v>
          </cell>
          <cell r="D19" t="str">
            <v>●</v>
          </cell>
          <cell r="E19" t="str">
            <v>●</v>
          </cell>
          <cell r="F19" t="str">
            <v>●</v>
          </cell>
          <cell r="G19">
            <v>1642599075</v>
          </cell>
          <cell r="H19">
            <v>6369870420.3899994</v>
          </cell>
          <cell r="I19">
            <v>662464400</v>
          </cell>
          <cell r="J19">
            <v>8674933895.3899994</v>
          </cell>
          <cell r="K19">
            <v>88927261082.399994</v>
          </cell>
        </row>
        <row r="20">
          <cell r="B20" t="str">
            <v>BDSC</v>
          </cell>
          <cell r="C20" t="str">
            <v>"БИ ДИ СЕК ҮЦК" ХК</v>
          </cell>
          <cell r="D20" t="str">
            <v>●</v>
          </cell>
          <cell r="E20" t="str">
            <v>●</v>
          </cell>
          <cell r="F20" t="str">
            <v>●</v>
          </cell>
          <cell r="G20">
            <v>8038699112.5</v>
          </cell>
          <cell r="H20">
            <v>2441131732.71</v>
          </cell>
          <cell r="I20">
            <v>1200700000</v>
          </cell>
          <cell r="J20">
            <v>11680530845.209999</v>
          </cell>
          <cell r="K20">
            <v>75298348295.179993</v>
          </cell>
        </row>
        <row r="21">
          <cell r="B21" t="str">
            <v>ARD</v>
          </cell>
          <cell r="C21" t="str">
            <v>"ӨЛЗИЙ ЭНД КО КАПИТАЛ ҮЦК" ХХК</v>
          </cell>
          <cell r="D21" t="str">
            <v>●</v>
          </cell>
          <cell r="E21" t="str">
            <v>●</v>
          </cell>
          <cell r="G21">
            <v>0</v>
          </cell>
          <cell r="H21">
            <v>15016546403.67</v>
          </cell>
          <cell r="I21">
            <v>305820000</v>
          </cell>
          <cell r="J21">
            <v>15322366403.67</v>
          </cell>
          <cell r="K21">
            <v>27472757614.43</v>
          </cell>
        </row>
        <row r="22">
          <cell r="B22" t="str">
            <v>LFTI</v>
          </cell>
          <cell r="C22" t="str">
            <v>"ЛАЙФТАЙМ ИНВЕСТМЕНТ ҮЦК" ХХК</v>
          </cell>
          <cell r="D22" t="str">
            <v>●</v>
          </cell>
          <cell r="E22" t="str">
            <v>●</v>
          </cell>
          <cell r="G22">
            <v>0</v>
          </cell>
          <cell r="H22">
            <v>110464740</v>
          </cell>
          <cell r="I22">
            <v>0</v>
          </cell>
          <cell r="J22">
            <v>110464740</v>
          </cell>
          <cell r="K22">
            <v>25406481833.459999</v>
          </cell>
        </row>
        <row r="23">
          <cell r="B23" t="str">
            <v>MNET</v>
          </cell>
          <cell r="C23" t="str">
            <v>"АРД СЕКЬЮРИТИЗ ҮЦК" ХХК</v>
          </cell>
          <cell r="D23" t="str">
            <v>●</v>
          </cell>
          <cell r="E23" t="str">
            <v>●</v>
          </cell>
          <cell r="F23" t="str">
            <v>●</v>
          </cell>
          <cell r="G23">
            <v>0</v>
          </cell>
          <cell r="H23">
            <v>1988681613.8900001</v>
          </cell>
          <cell r="I23">
            <v>41500000</v>
          </cell>
          <cell r="J23">
            <v>2030181613.8900001</v>
          </cell>
          <cell r="K23">
            <v>21105077041.5</v>
          </cell>
        </row>
        <row r="24">
          <cell r="B24" t="str">
            <v>STIN</v>
          </cell>
          <cell r="C24" t="str">
            <v>"СТАНДАРТ ИНВЕСТМЕНТ ҮЦК" ХХК</v>
          </cell>
          <cell r="D24" t="str">
            <v>●</v>
          </cell>
          <cell r="E24" t="str">
            <v>●</v>
          </cell>
          <cell r="F24" t="str">
            <v>●</v>
          </cell>
          <cell r="G24">
            <v>0</v>
          </cell>
          <cell r="H24">
            <v>298944443.69000006</v>
          </cell>
          <cell r="I24">
            <v>0</v>
          </cell>
          <cell r="J24">
            <v>298944443.69000006</v>
          </cell>
          <cell r="K24">
            <v>20928288566.999996</v>
          </cell>
        </row>
        <row r="25">
          <cell r="B25" t="str">
            <v>TTOL</v>
          </cell>
          <cell r="C25" t="str">
            <v>"АПЕКС КАПИТАЛ ҮЦК" ХХК</v>
          </cell>
          <cell r="D25" t="str">
            <v>●</v>
          </cell>
          <cell r="E25" t="str">
            <v>●</v>
          </cell>
          <cell r="F25" t="str">
            <v>●</v>
          </cell>
          <cell r="G25">
            <v>0</v>
          </cell>
          <cell r="H25">
            <v>1250877591.74</v>
          </cell>
          <cell r="I25">
            <v>11150600</v>
          </cell>
          <cell r="J25">
            <v>1262028191.74</v>
          </cell>
          <cell r="K25">
            <v>13960337530.51</v>
          </cell>
        </row>
        <row r="26">
          <cell r="B26" t="str">
            <v>TNGR</v>
          </cell>
          <cell r="C26" t="str">
            <v>"ТЭНГЭР КАПИТАЛ  ҮЦК" ХХК</v>
          </cell>
          <cell r="D26" t="str">
            <v>●</v>
          </cell>
          <cell r="E26" t="str">
            <v>●</v>
          </cell>
          <cell r="F26" t="str">
            <v>●</v>
          </cell>
          <cell r="G26">
            <v>0</v>
          </cell>
          <cell r="H26">
            <v>634559179.97000003</v>
          </cell>
          <cell r="I26">
            <v>7000000000</v>
          </cell>
          <cell r="J26">
            <v>7634559179.9700003</v>
          </cell>
          <cell r="K26">
            <v>13818165263.51</v>
          </cell>
        </row>
        <row r="27">
          <cell r="B27" t="str">
            <v>STOK</v>
          </cell>
          <cell r="C27" t="str">
            <v>"СТОКЛАБ СЕКЬЮРИТИЗ ҮЦК" ХХК</v>
          </cell>
          <cell r="D27" t="str">
            <v>●</v>
          </cell>
          <cell r="E27" t="str">
            <v>●</v>
          </cell>
          <cell r="F27" t="str">
            <v>●</v>
          </cell>
          <cell r="G27">
            <v>0</v>
          </cell>
          <cell r="H27">
            <v>192316222.91</v>
          </cell>
          <cell r="I27">
            <v>0</v>
          </cell>
          <cell r="J27">
            <v>192316222.91</v>
          </cell>
          <cell r="K27">
            <v>7557937011.1299992</v>
          </cell>
        </row>
        <row r="28">
          <cell r="B28" t="str">
            <v>RISM</v>
          </cell>
          <cell r="C28" t="str">
            <v>"РАЙНОС ИНВЕСТМЕНТ ҮЦК" ХХК</v>
          </cell>
          <cell r="D28" t="str">
            <v>●</v>
          </cell>
          <cell r="E28" t="str">
            <v>●</v>
          </cell>
          <cell r="F28" t="str">
            <v>●</v>
          </cell>
          <cell r="G28">
            <v>0</v>
          </cell>
          <cell r="H28">
            <v>657865328.26999998</v>
          </cell>
          <cell r="I28">
            <v>6900000</v>
          </cell>
          <cell r="J28">
            <v>664765328.26999998</v>
          </cell>
          <cell r="K28">
            <v>5308681404.5699997</v>
          </cell>
        </row>
        <row r="29">
          <cell r="B29" t="str">
            <v>BUMB</v>
          </cell>
          <cell r="C29" t="str">
            <v>"БУМБАТ-АЛТАЙ ҮЦК" ХХК</v>
          </cell>
          <cell r="D29" t="str">
            <v>●</v>
          </cell>
          <cell r="G29">
            <v>0</v>
          </cell>
          <cell r="H29">
            <v>281959687.38</v>
          </cell>
          <cell r="I29">
            <v>40000000</v>
          </cell>
          <cell r="J29">
            <v>321959687.38</v>
          </cell>
          <cell r="K29">
            <v>3108060886.4500008</v>
          </cell>
        </row>
        <row r="30">
          <cell r="B30" t="str">
            <v>UNET</v>
          </cell>
          <cell r="C30" t="str">
            <v>"ҮНЭТ СЕКЬЮРИТИС ҮЦК" ХХК</v>
          </cell>
          <cell r="D30" t="str">
            <v>●</v>
          </cell>
          <cell r="F30" t="str">
            <v>●</v>
          </cell>
          <cell r="G30">
            <v>0</v>
          </cell>
          <cell r="H30">
            <v>266340831.95999998</v>
          </cell>
          <cell r="I30">
            <v>0</v>
          </cell>
          <cell r="J30">
            <v>266340831.95999998</v>
          </cell>
          <cell r="K30">
            <v>2735789618.8800001</v>
          </cell>
        </row>
        <row r="31">
          <cell r="B31" t="str">
            <v>BZIN</v>
          </cell>
          <cell r="C31" t="str">
            <v>"МИРЭ ЭССЭТ СЕКЬЮРИТИС МОНГОЛ ҮЦК" ХХК</v>
          </cell>
          <cell r="D31" t="str">
            <v>●</v>
          </cell>
          <cell r="E31" t="str">
            <v>●</v>
          </cell>
          <cell r="F31" t="str">
            <v>●</v>
          </cell>
          <cell r="G31">
            <v>0</v>
          </cell>
          <cell r="H31">
            <v>165985782.03</v>
          </cell>
          <cell r="I31">
            <v>0</v>
          </cell>
          <cell r="J31">
            <v>165985782.03</v>
          </cell>
          <cell r="K31">
            <v>2683807654.3699999</v>
          </cell>
        </row>
        <row r="32">
          <cell r="B32" t="str">
            <v>BKOC</v>
          </cell>
          <cell r="C32" t="str">
            <v>"ЭС ЖИ ИНВЕСТМЕНТ ЭНД СЕКЬЮРИТИС ҮЦК" ХХК</v>
          </cell>
          <cell r="D32" t="str">
            <v>●</v>
          </cell>
          <cell r="E32" t="str">
            <v>●</v>
          </cell>
          <cell r="F32" t="str">
            <v>●</v>
          </cell>
          <cell r="G32">
            <v>0</v>
          </cell>
          <cell r="H32">
            <v>70171461.269999996</v>
          </cell>
          <cell r="I32">
            <v>0</v>
          </cell>
          <cell r="J32">
            <v>70171461.269999996</v>
          </cell>
          <cell r="K32">
            <v>2235121185.6299996</v>
          </cell>
        </row>
        <row r="33">
          <cell r="B33" t="str">
            <v>DELG</v>
          </cell>
          <cell r="C33" t="str">
            <v>"ДИ ЭЙЧ КАПИТАЛ ҮЦК" ХХК</v>
          </cell>
          <cell r="D33" t="str">
            <v>●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1727992446.24</v>
          </cell>
        </row>
        <row r="34">
          <cell r="B34" t="str">
            <v>GDEV</v>
          </cell>
          <cell r="C34" t="str">
            <v>"ГРАНДДЕВЕЛОПМЕНТ ҮЦК" ХХК</v>
          </cell>
          <cell r="D34" t="str">
            <v>●</v>
          </cell>
          <cell r="G34">
            <v>0</v>
          </cell>
          <cell r="H34">
            <v>184450349.08000001</v>
          </cell>
          <cell r="I34">
            <v>0</v>
          </cell>
          <cell r="J34">
            <v>184450349.08000001</v>
          </cell>
          <cell r="K34">
            <v>1727322826.0799999</v>
          </cell>
        </row>
        <row r="35">
          <cell r="B35" t="str">
            <v>GDSC</v>
          </cell>
          <cell r="C35" t="str">
            <v>"ГҮҮДСЕК ҮЦК" ХХК</v>
          </cell>
          <cell r="D35" t="str">
            <v>●</v>
          </cell>
          <cell r="E35" t="str">
            <v>●</v>
          </cell>
          <cell r="F35" t="str">
            <v>●</v>
          </cell>
          <cell r="G35">
            <v>0</v>
          </cell>
          <cell r="H35">
            <v>148392562.94</v>
          </cell>
          <cell r="I35">
            <v>200000</v>
          </cell>
          <cell r="J35">
            <v>148592562.94</v>
          </cell>
          <cell r="K35">
            <v>1553054973.49</v>
          </cell>
        </row>
        <row r="36">
          <cell r="B36" t="str">
            <v>NOVL</v>
          </cell>
          <cell r="C36" t="str">
            <v>"НОВЕЛ ИНВЕСТМЕНТ ҮЦК" ХХК</v>
          </cell>
          <cell r="D36" t="str">
            <v>●</v>
          </cell>
          <cell r="E36" t="str">
            <v>●</v>
          </cell>
          <cell r="F36" t="str">
            <v>●</v>
          </cell>
          <cell r="G36">
            <v>0</v>
          </cell>
          <cell r="H36">
            <v>174655338.22999999</v>
          </cell>
          <cell r="I36">
            <v>0</v>
          </cell>
          <cell r="J36">
            <v>174655338.22999999</v>
          </cell>
          <cell r="K36">
            <v>763069808.6500001</v>
          </cell>
        </row>
        <row r="37">
          <cell r="B37" t="str">
            <v>DRBR</v>
          </cell>
          <cell r="C37" t="str">
            <v>"ДАРХАН БРОКЕР ҮЦК" ХХК</v>
          </cell>
          <cell r="D37" t="str">
            <v>●</v>
          </cell>
          <cell r="G37">
            <v>0</v>
          </cell>
          <cell r="H37">
            <v>28777812.620000001</v>
          </cell>
          <cell r="I37">
            <v>0</v>
          </cell>
          <cell r="J37">
            <v>28777812.620000001</v>
          </cell>
          <cell r="K37">
            <v>733155094.80000007</v>
          </cell>
        </row>
        <row r="38">
          <cell r="B38" t="str">
            <v>SGC</v>
          </cell>
          <cell r="C38" t="str">
            <v>"ЭС ЖИ КАПИТАЛ ҮЦК" ХХК</v>
          </cell>
          <cell r="D38" t="str">
            <v>●</v>
          </cell>
          <cell r="E38" t="str">
            <v>●</v>
          </cell>
          <cell r="F38" t="str">
            <v>●</v>
          </cell>
          <cell r="G38">
            <v>0</v>
          </cell>
          <cell r="H38">
            <v>3070066.21</v>
          </cell>
          <cell r="I38">
            <v>0</v>
          </cell>
          <cell r="J38">
            <v>3070066.21</v>
          </cell>
          <cell r="K38">
            <v>717394017.70999992</v>
          </cell>
        </row>
        <row r="39">
          <cell r="B39" t="str">
            <v>GAUL</v>
          </cell>
          <cell r="C39" t="str">
            <v>"ГАҮЛИ ҮЦК" ХХК</v>
          </cell>
          <cell r="D39" t="str">
            <v>●</v>
          </cell>
          <cell r="G39">
            <v>0</v>
          </cell>
          <cell r="H39">
            <v>56044323.25</v>
          </cell>
          <cell r="I39">
            <v>0</v>
          </cell>
          <cell r="J39">
            <v>56044323.25</v>
          </cell>
          <cell r="K39">
            <v>504179846.79999995</v>
          </cell>
        </row>
        <row r="40">
          <cell r="B40" t="str">
            <v>MSEC</v>
          </cell>
          <cell r="C40" t="str">
            <v>"МОНСЕК ҮЦК" ХХК</v>
          </cell>
          <cell r="D40" t="str">
            <v>●</v>
          </cell>
          <cell r="G40">
            <v>0</v>
          </cell>
          <cell r="H40">
            <v>34521450.32</v>
          </cell>
          <cell r="I40">
            <v>0</v>
          </cell>
          <cell r="J40">
            <v>34521450.32</v>
          </cell>
          <cell r="K40">
            <v>291422071.30000001</v>
          </cell>
        </row>
        <row r="41">
          <cell r="B41" t="str">
            <v>TCHB</v>
          </cell>
          <cell r="C41" t="str">
            <v>"ТУЛГАТ ЧАНДМАНЬ БАЯН  ҮЦК" ХХК</v>
          </cell>
          <cell r="D41" t="str">
            <v>●</v>
          </cell>
          <cell r="G41">
            <v>0</v>
          </cell>
          <cell r="H41">
            <v>16801959.300000001</v>
          </cell>
          <cell r="I41">
            <v>0</v>
          </cell>
          <cell r="J41">
            <v>16801959.300000001</v>
          </cell>
          <cell r="K41">
            <v>255316785.44</v>
          </cell>
        </row>
        <row r="42">
          <cell r="B42" t="str">
            <v>UNDR</v>
          </cell>
          <cell r="C42" t="str">
            <v>"ӨНДӨРХААН ИНВЕСТ ҮЦК" ХХК</v>
          </cell>
          <cell r="D42" t="str">
            <v>●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195495916.11000001</v>
          </cell>
        </row>
        <row r="43">
          <cell r="B43" t="str">
            <v>ARGB</v>
          </cell>
          <cell r="C43" t="str">
            <v>"АРГАЙ БЭСТ ҮЦК" ХХК</v>
          </cell>
          <cell r="D43" t="str">
            <v>●</v>
          </cell>
          <cell r="G43">
            <v>0</v>
          </cell>
          <cell r="H43">
            <v>13797407</v>
          </cell>
          <cell r="I43">
            <v>950000</v>
          </cell>
          <cell r="J43">
            <v>14747407</v>
          </cell>
          <cell r="K43">
            <v>183402956.77000001</v>
          </cell>
        </row>
        <row r="44">
          <cell r="B44" t="str">
            <v>ZRGD</v>
          </cell>
          <cell r="C44" t="str">
            <v>"НЭТСЭК ҮЦК" ХХК</v>
          </cell>
          <cell r="D44" t="str">
            <v>●</v>
          </cell>
          <cell r="G44">
            <v>0</v>
          </cell>
          <cell r="H44">
            <v>838771.9</v>
          </cell>
          <cell r="I44">
            <v>0</v>
          </cell>
          <cell r="J44">
            <v>838771.9</v>
          </cell>
          <cell r="K44">
            <v>175770307.06999999</v>
          </cell>
        </row>
        <row r="45">
          <cell r="B45" t="str">
            <v>ALTN</v>
          </cell>
          <cell r="C45" t="str">
            <v>"АЛТАН ХОРОМСОГ ҮЦК" ХХК</v>
          </cell>
          <cell r="D45" t="str">
            <v>●</v>
          </cell>
          <cell r="G45">
            <v>0</v>
          </cell>
          <cell r="H45">
            <v>967781</v>
          </cell>
          <cell r="I45">
            <v>0</v>
          </cell>
          <cell r="J45">
            <v>967781</v>
          </cell>
          <cell r="K45">
            <v>136142371.44000003</v>
          </cell>
        </row>
        <row r="46">
          <cell r="B46" t="str">
            <v>BULG</v>
          </cell>
          <cell r="C46" t="str">
            <v>"БУЛГАН БРОКЕР ҮЦК" ХХК</v>
          </cell>
          <cell r="D46" t="str">
            <v>●</v>
          </cell>
          <cell r="G46">
            <v>0</v>
          </cell>
          <cell r="H46">
            <v>5002161</v>
          </cell>
          <cell r="I46">
            <v>0</v>
          </cell>
          <cell r="J46">
            <v>5002161</v>
          </cell>
          <cell r="K46">
            <v>122727511.32000001</v>
          </cell>
        </row>
        <row r="47">
          <cell r="B47" t="str">
            <v>MERG</v>
          </cell>
          <cell r="C47" t="str">
            <v>"МЭРГЭН САНАА ҮЦК" ХХК</v>
          </cell>
          <cell r="D47" t="str">
            <v>●</v>
          </cell>
          <cell r="G47">
            <v>0</v>
          </cell>
          <cell r="H47">
            <v>844080</v>
          </cell>
          <cell r="I47">
            <v>0</v>
          </cell>
          <cell r="J47">
            <v>844080</v>
          </cell>
          <cell r="K47">
            <v>58490415.529999994</v>
          </cell>
        </row>
        <row r="48">
          <cell r="B48" t="str">
            <v>NSEC</v>
          </cell>
          <cell r="C48" t="str">
            <v>"НЭЙШНЛ СЕКЮРИТИС ҮЦК" ХХК</v>
          </cell>
          <cell r="D48" t="str">
            <v>●</v>
          </cell>
          <cell r="E48" t="str">
            <v>●</v>
          </cell>
          <cell r="F48" t="str">
            <v>●</v>
          </cell>
          <cell r="G48">
            <v>0</v>
          </cell>
          <cell r="H48">
            <v>1442407.37</v>
          </cell>
          <cell r="I48">
            <v>0</v>
          </cell>
          <cell r="J48">
            <v>1442407.37</v>
          </cell>
          <cell r="K48">
            <v>39021145.840000004</v>
          </cell>
        </row>
        <row r="49">
          <cell r="B49" t="str">
            <v>TABO</v>
          </cell>
          <cell r="C49" t="str">
            <v>"ТАВАН БОГД ҮЦК" ХХК</v>
          </cell>
          <cell r="D49" t="str">
            <v>●</v>
          </cell>
          <cell r="G49">
            <v>0</v>
          </cell>
          <cell r="H49">
            <v>2044000</v>
          </cell>
          <cell r="I49">
            <v>0</v>
          </cell>
          <cell r="J49">
            <v>2044000</v>
          </cell>
          <cell r="K49">
            <v>37659557.460000001</v>
          </cell>
        </row>
        <row r="50">
          <cell r="B50" t="str">
            <v>MSSC</v>
          </cell>
          <cell r="C50" t="str">
            <v xml:space="preserve"> "М СЕКЬЮРИТИС ҮЦК"</v>
          </cell>
          <cell r="D50" t="str">
            <v>●</v>
          </cell>
          <cell r="G50">
            <v>0</v>
          </cell>
          <cell r="H50">
            <v>5325912.07</v>
          </cell>
          <cell r="I50">
            <v>0</v>
          </cell>
          <cell r="J50">
            <v>5325912.07</v>
          </cell>
          <cell r="K50">
            <v>22276802.949999999</v>
          </cell>
        </row>
        <row r="51">
          <cell r="B51" t="str">
            <v>VTCM</v>
          </cell>
          <cell r="C51" t="str">
            <v>"ВАНТЭЙЖ КАПИТАЛ ҮЦК" ХХК</v>
          </cell>
          <cell r="D51" t="str">
            <v>●</v>
          </cell>
          <cell r="G51">
            <v>0</v>
          </cell>
          <cell r="H51">
            <v>1360920</v>
          </cell>
          <cell r="I51">
            <v>0</v>
          </cell>
          <cell r="J51">
            <v>1360920</v>
          </cell>
          <cell r="K51">
            <v>21426909.100000001</v>
          </cell>
        </row>
        <row r="52">
          <cell r="B52" t="str">
            <v>DOMI</v>
          </cell>
          <cell r="C52" t="str">
            <v>"ДОМИКС СЕК ҮЦК" ХХК</v>
          </cell>
          <cell r="D52" t="str">
            <v>●</v>
          </cell>
          <cell r="G52">
            <v>0</v>
          </cell>
          <cell r="H52">
            <v>1049714.3500000001</v>
          </cell>
          <cell r="I52">
            <v>0</v>
          </cell>
          <cell r="J52">
            <v>1049714.3500000001</v>
          </cell>
          <cell r="K52">
            <v>18582346.430000003</v>
          </cell>
        </row>
        <row r="53">
          <cell r="B53" t="str">
            <v>BLAC</v>
          </cell>
          <cell r="C53" t="str">
            <v>"МАЗААЛАЙ КАПИТАЛ ПАРТНЕРС ҮЦК" ХХК</v>
          </cell>
          <cell r="D53" t="str">
            <v>●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9678313</v>
          </cell>
        </row>
        <row r="54">
          <cell r="B54" t="str">
            <v>HUN</v>
          </cell>
          <cell r="C54" t="str">
            <v>"ХҮННҮ ЭМПАЙР ҮЦК" ХХК</v>
          </cell>
          <cell r="D54" t="str">
            <v>●</v>
          </cell>
          <cell r="G54">
            <v>0</v>
          </cell>
          <cell r="H54">
            <v>8058598.25</v>
          </cell>
          <cell r="I54">
            <v>0</v>
          </cell>
          <cell r="J54">
            <v>8058598.25</v>
          </cell>
          <cell r="K54">
            <v>9016354.25</v>
          </cell>
        </row>
        <row r="55">
          <cell r="B55" t="str">
            <v>SANR</v>
          </cell>
          <cell r="C55" t="str">
            <v>"САНАР ҮЦК" ХХК</v>
          </cell>
          <cell r="D55" t="str">
            <v>●</v>
          </cell>
          <cell r="G55">
            <v>0</v>
          </cell>
          <cell r="H55">
            <v>448350</v>
          </cell>
          <cell r="I55">
            <v>0</v>
          </cell>
          <cell r="J55">
            <v>448350</v>
          </cell>
          <cell r="K55">
            <v>1621710</v>
          </cell>
        </row>
        <row r="56">
          <cell r="B56" t="str">
            <v>BSK</v>
          </cell>
          <cell r="C56" t="str">
            <v>"БЛЮСКАЙ СЕКЬЮРИТИЗ ҮЦК" ХК</v>
          </cell>
          <cell r="D56" t="str">
            <v>●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1515180</v>
          </cell>
        </row>
        <row r="57">
          <cell r="B57" t="str">
            <v>CTRL</v>
          </cell>
          <cell r="C57" t="str">
            <v>"ЦЕНТРАЛ СЕКЬЮРИТИЙЗ ҮЦК" ХХК</v>
          </cell>
          <cell r="D57" t="str">
            <v>●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115500</v>
          </cell>
        </row>
        <row r="58">
          <cell r="B58" t="str">
            <v>BATS</v>
          </cell>
          <cell r="C58" t="str">
            <v>"ФИНГЕЙТ СЕКЮРИТИС ҮЦК" ХХК</v>
          </cell>
          <cell r="D58" t="str">
            <v>●</v>
          </cell>
          <cell r="G58">
            <v>0</v>
          </cell>
          <cell r="H58">
            <v>713.97</v>
          </cell>
          <cell r="I58">
            <v>0</v>
          </cell>
          <cell r="J58">
            <v>713.97</v>
          </cell>
          <cell r="K58">
            <v>2641.9700000000003</v>
          </cell>
        </row>
        <row r="59">
          <cell r="B59" t="str">
            <v>SECP</v>
          </cell>
          <cell r="C59" t="str">
            <v>"СИКАП  ҮЦК" ХХК</v>
          </cell>
          <cell r="D59" t="str">
            <v>●</v>
          </cell>
          <cell r="F59" t="str">
            <v>●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</row>
        <row r="60">
          <cell r="B60" t="str">
            <v>DCF</v>
          </cell>
          <cell r="C60" t="str">
            <v>"ДИ СИ ЭФ ҮЦК" ХХК</v>
          </cell>
          <cell r="D60" t="str">
            <v>●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</row>
        <row r="61">
          <cell r="B61" t="str">
            <v>SILS</v>
          </cell>
          <cell r="C61" t="str">
            <v>"СИЛВЭР ЛАЙТ СЕКЮРИТИЙЗ ҮЦК" ХХК</v>
          </cell>
          <cell r="D61" t="str">
            <v>●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</row>
        <row r="62">
          <cell r="B62" t="str">
            <v>GATR</v>
          </cell>
          <cell r="C62" t="str">
            <v>"ГАЦУУРТ ТРЕЙД ҮЦК" ХХК</v>
          </cell>
          <cell r="D62" t="str">
            <v>●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</row>
        <row r="63">
          <cell r="B63" t="str">
            <v>MONG</v>
          </cell>
          <cell r="C63" t="str">
            <v>"МОНГОЛ СЕКЮРИТИЕС ҮЦК" ХК</v>
          </cell>
          <cell r="D63" t="str">
            <v>●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</row>
        <row r="64">
          <cell r="B64" t="str">
            <v>MSDQ</v>
          </cell>
          <cell r="C64" t="str">
            <v>"МАСДАК ҮНЭТ ЦААСНЫ КОМПАНИ" ХХК</v>
          </cell>
          <cell r="D64" t="str">
            <v>●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C6E56-4ACC-491F-93A7-57B029FD4FBC}">
  <sheetPr>
    <pageSetUpPr fitToPage="1"/>
  </sheetPr>
  <dimension ref="A6:O122"/>
  <sheetViews>
    <sheetView tabSelected="1" topLeftCell="A28" zoomScale="70" zoomScaleNormal="70" workbookViewId="0">
      <selection activeCell="J20" sqref="J20"/>
    </sheetView>
  </sheetViews>
  <sheetFormatPr defaultRowHeight="15.75" x14ac:dyDescent="0.25"/>
  <cols>
    <col min="1" max="1" width="4.28515625" style="1" customWidth="1"/>
    <col min="2" max="2" width="9.85546875" style="1" customWidth="1"/>
    <col min="3" max="3" width="58.7109375" style="1" customWidth="1"/>
    <col min="4" max="4" width="11" style="1" customWidth="1"/>
    <col min="5" max="6" width="15.5703125" style="1" customWidth="1"/>
    <col min="7" max="7" width="39.5703125" style="1" customWidth="1"/>
    <col min="8" max="8" width="30.28515625" style="1" customWidth="1"/>
    <col min="9" max="9" width="29.28515625" style="2" customWidth="1"/>
    <col min="10" max="10" width="32.5703125" style="3" customWidth="1"/>
    <col min="11" max="11" width="33.42578125" style="1" customWidth="1"/>
    <col min="12" max="12" width="32.28515625" style="1" customWidth="1"/>
    <col min="13" max="13" width="22.7109375" style="1" bestFit="1" customWidth="1"/>
    <col min="14" max="14" width="25.7109375" style="1" bestFit="1" customWidth="1"/>
    <col min="15" max="15" width="8.7109375" style="1" bestFit="1" customWidth="1"/>
    <col min="16" max="249" width="9.140625" style="1"/>
    <col min="250" max="250" width="4.28515625" style="1" customWidth="1"/>
    <col min="251" max="251" width="9.85546875" style="1" customWidth="1"/>
    <col min="252" max="252" width="55.42578125" style="1" bestFit="1" customWidth="1"/>
    <col min="253" max="253" width="12.85546875" style="1" customWidth="1"/>
    <col min="254" max="254" width="14.85546875" style="1" customWidth="1"/>
    <col min="255" max="255" width="14.28515625" style="1" customWidth="1"/>
    <col min="256" max="256" width="20.7109375" style="1" customWidth="1"/>
    <col min="257" max="257" width="21" style="1" customWidth="1"/>
    <col min="258" max="259" width="21.28515625" style="1" customWidth="1"/>
    <col min="260" max="261" width="22.42578125" style="1" bestFit="1" customWidth="1"/>
    <col min="262" max="262" width="22.28515625" style="1" bestFit="1" customWidth="1"/>
    <col min="263" max="263" width="16.7109375" style="1" customWidth="1"/>
    <col min="264" max="264" width="21.42578125" style="1" bestFit="1" customWidth="1"/>
    <col min="265" max="265" width="22.28515625" style="1" bestFit="1" customWidth="1"/>
    <col min="266" max="505" width="9.140625" style="1"/>
    <col min="506" max="506" width="4.28515625" style="1" customWidth="1"/>
    <col min="507" max="507" width="9.85546875" style="1" customWidth="1"/>
    <col min="508" max="508" width="55.42578125" style="1" bestFit="1" customWidth="1"/>
    <col min="509" max="509" width="12.85546875" style="1" customWidth="1"/>
    <col min="510" max="510" width="14.85546875" style="1" customWidth="1"/>
    <col min="511" max="511" width="14.28515625" style="1" customWidth="1"/>
    <col min="512" max="512" width="20.7109375" style="1" customWidth="1"/>
    <col min="513" max="513" width="21" style="1" customWidth="1"/>
    <col min="514" max="515" width="21.28515625" style="1" customWidth="1"/>
    <col min="516" max="517" width="22.42578125" style="1" bestFit="1" customWidth="1"/>
    <col min="518" max="518" width="22.28515625" style="1" bestFit="1" customWidth="1"/>
    <col min="519" max="519" width="16.7109375" style="1" customWidth="1"/>
    <col min="520" max="520" width="21.42578125" style="1" bestFit="1" customWidth="1"/>
    <col min="521" max="521" width="22.28515625" style="1" bestFit="1" customWidth="1"/>
    <col min="522" max="761" width="9.140625" style="1"/>
    <col min="762" max="762" width="4.28515625" style="1" customWidth="1"/>
    <col min="763" max="763" width="9.85546875" style="1" customWidth="1"/>
    <col min="764" max="764" width="55.42578125" style="1" bestFit="1" customWidth="1"/>
    <col min="765" max="765" width="12.85546875" style="1" customWidth="1"/>
    <col min="766" max="766" width="14.85546875" style="1" customWidth="1"/>
    <col min="767" max="767" width="14.28515625" style="1" customWidth="1"/>
    <col min="768" max="768" width="20.7109375" style="1" customWidth="1"/>
    <col min="769" max="769" width="21" style="1" customWidth="1"/>
    <col min="770" max="771" width="21.28515625" style="1" customWidth="1"/>
    <col min="772" max="773" width="22.42578125" style="1" bestFit="1" customWidth="1"/>
    <col min="774" max="774" width="22.28515625" style="1" bestFit="1" customWidth="1"/>
    <col min="775" max="775" width="16.7109375" style="1" customWidth="1"/>
    <col min="776" max="776" width="21.42578125" style="1" bestFit="1" customWidth="1"/>
    <col min="777" max="777" width="22.28515625" style="1" bestFit="1" customWidth="1"/>
    <col min="778" max="1017" width="9.140625" style="1"/>
    <col min="1018" max="1018" width="4.28515625" style="1" customWidth="1"/>
    <col min="1019" max="1019" width="9.85546875" style="1" customWidth="1"/>
    <col min="1020" max="1020" width="55.42578125" style="1" bestFit="1" customWidth="1"/>
    <col min="1021" max="1021" width="12.85546875" style="1" customWidth="1"/>
    <col min="1022" max="1022" width="14.85546875" style="1" customWidth="1"/>
    <col min="1023" max="1023" width="14.28515625" style="1" customWidth="1"/>
    <col min="1024" max="1024" width="20.7109375" style="1" customWidth="1"/>
    <col min="1025" max="1025" width="21" style="1" customWidth="1"/>
    <col min="1026" max="1027" width="21.28515625" style="1" customWidth="1"/>
    <col min="1028" max="1029" width="22.42578125" style="1" bestFit="1" customWidth="1"/>
    <col min="1030" max="1030" width="22.28515625" style="1" bestFit="1" customWidth="1"/>
    <col min="1031" max="1031" width="16.7109375" style="1" customWidth="1"/>
    <col min="1032" max="1032" width="21.42578125" style="1" bestFit="1" customWidth="1"/>
    <col min="1033" max="1033" width="22.28515625" style="1" bestFit="1" customWidth="1"/>
    <col min="1034" max="1273" width="9.140625" style="1"/>
    <col min="1274" max="1274" width="4.28515625" style="1" customWidth="1"/>
    <col min="1275" max="1275" width="9.85546875" style="1" customWidth="1"/>
    <col min="1276" max="1276" width="55.42578125" style="1" bestFit="1" customWidth="1"/>
    <col min="1277" max="1277" width="12.85546875" style="1" customWidth="1"/>
    <col min="1278" max="1278" width="14.85546875" style="1" customWidth="1"/>
    <col min="1279" max="1279" width="14.28515625" style="1" customWidth="1"/>
    <col min="1280" max="1280" width="20.7109375" style="1" customWidth="1"/>
    <col min="1281" max="1281" width="21" style="1" customWidth="1"/>
    <col min="1282" max="1283" width="21.28515625" style="1" customWidth="1"/>
    <col min="1284" max="1285" width="22.42578125" style="1" bestFit="1" customWidth="1"/>
    <col min="1286" max="1286" width="22.28515625" style="1" bestFit="1" customWidth="1"/>
    <col min="1287" max="1287" width="16.7109375" style="1" customWidth="1"/>
    <col min="1288" max="1288" width="21.42578125" style="1" bestFit="1" customWidth="1"/>
    <col min="1289" max="1289" width="22.28515625" style="1" bestFit="1" customWidth="1"/>
    <col min="1290" max="1529" width="9.140625" style="1"/>
    <col min="1530" max="1530" width="4.28515625" style="1" customWidth="1"/>
    <col min="1531" max="1531" width="9.85546875" style="1" customWidth="1"/>
    <col min="1532" max="1532" width="55.42578125" style="1" bestFit="1" customWidth="1"/>
    <col min="1533" max="1533" width="12.85546875" style="1" customWidth="1"/>
    <col min="1534" max="1534" width="14.85546875" style="1" customWidth="1"/>
    <col min="1535" max="1535" width="14.28515625" style="1" customWidth="1"/>
    <col min="1536" max="1536" width="20.7109375" style="1" customWidth="1"/>
    <col min="1537" max="1537" width="21" style="1" customWidth="1"/>
    <col min="1538" max="1539" width="21.28515625" style="1" customWidth="1"/>
    <col min="1540" max="1541" width="22.42578125" style="1" bestFit="1" customWidth="1"/>
    <col min="1542" max="1542" width="22.28515625" style="1" bestFit="1" customWidth="1"/>
    <col min="1543" max="1543" width="16.7109375" style="1" customWidth="1"/>
    <col min="1544" max="1544" width="21.42578125" style="1" bestFit="1" customWidth="1"/>
    <col min="1545" max="1545" width="22.28515625" style="1" bestFit="1" customWidth="1"/>
    <col min="1546" max="1785" width="9.140625" style="1"/>
    <col min="1786" max="1786" width="4.28515625" style="1" customWidth="1"/>
    <col min="1787" max="1787" width="9.85546875" style="1" customWidth="1"/>
    <col min="1788" max="1788" width="55.42578125" style="1" bestFit="1" customWidth="1"/>
    <col min="1789" max="1789" width="12.85546875" style="1" customWidth="1"/>
    <col min="1790" max="1790" width="14.85546875" style="1" customWidth="1"/>
    <col min="1791" max="1791" width="14.28515625" style="1" customWidth="1"/>
    <col min="1792" max="1792" width="20.7109375" style="1" customWidth="1"/>
    <col min="1793" max="1793" width="21" style="1" customWidth="1"/>
    <col min="1794" max="1795" width="21.28515625" style="1" customWidth="1"/>
    <col min="1796" max="1797" width="22.42578125" style="1" bestFit="1" customWidth="1"/>
    <col min="1798" max="1798" width="22.28515625" style="1" bestFit="1" customWidth="1"/>
    <col min="1799" max="1799" width="16.7109375" style="1" customWidth="1"/>
    <col min="1800" max="1800" width="21.42578125" style="1" bestFit="1" customWidth="1"/>
    <col min="1801" max="1801" width="22.28515625" style="1" bestFit="1" customWidth="1"/>
    <col min="1802" max="2041" width="9.140625" style="1"/>
    <col min="2042" max="2042" width="4.28515625" style="1" customWidth="1"/>
    <col min="2043" max="2043" width="9.85546875" style="1" customWidth="1"/>
    <col min="2044" max="2044" width="55.42578125" style="1" bestFit="1" customWidth="1"/>
    <col min="2045" max="2045" width="12.85546875" style="1" customWidth="1"/>
    <col min="2046" max="2046" width="14.85546875" style="1" customWidth="1"/>
    <col min="2047" max="2047" width="14.28515625" style="1" customWidth="1"/>
    <col min="2048" max="2048" width="20.7109375" style="1" customWidth="1"/>
    <col min="2049" max="2049" width="21" style="1" customWidth="1"/>
    <col min="2050" max="2051" width="21.28515625" style="1" customWidth="1"/>
    <col min="2052" max="2053" width="22.42578125" style="1" bestFit="1" customWidth="1"/>
    <col min="2054" max="2054" width="22.28515625" style="1" bestFit="1" customWidth="1"/>
    <col min="2055" max="2055" width="16.7109375" style="1" customWidth="1"/>
    <col min="2056" max="2056" width="21.42578125" style="1" bestFit="1" customWidth="1"/>
    <col min="2057" max="2057" width="22.28515625" style="1" bestFit="1" customWidth="1"/>
    <col min="2058" max="2297" width="9.140625" style="1"/>
    <col min="2298" max="2298" width="4.28515625" style="1" customWidth="1"/>
    <col min="2299" max="2299" width="9.85546875" style="1" customWidth="1"/>
    <col min="2300" max="2300" width="55.42578125" style="1" bestFit="1" customWidth="1"/>
    <col min="2301" max="2301" width="12.85546875" style="1" customWidth="1"/>
    <col min="2302" max="2302" width="14.85546875" style="1" customWidth="1"/>
    <col min="2303" max="2303" width="14.28515625" style="1" customWidth="1"/>
    <col min="2304" max="2304" width="20.7109375" style="1" customWidth="1"/>
    <col min="2305" max="2305" width="21" style="1" customWidth="1"/>
    <col min="2306" max="2307" width="21.28515625" style="1" customWidth="1"/>
    <col min="2308" max="2309" width="22.42578125" style="1" bestFit="1" customWidth="1"/>
    <col min="2310" max="2310" width="22.28515625" style="1" bestFit="1" customWidth="1"/>
    <col min="2311" max="2311" width="16.7109375" style="1" customWidth="1"/>
    <col min="2312" max="2312" width="21.42578125" style="1" bestFit="1" customWidth="1"/>
    <col min="2313" max="2313" width="22.28515625" style="1" bestFit="1" customWidth="1"/>
    <col min="2314" max="2553" width="9.140625" style="1"/>
    <col min="2554" max="2554" width="4.28515625" style="1" customWidth="1"/>
    <col min="2555" max="2555" width="9.85546875" style="1" customWidth="1"/>
    <col min="2556" max="2556" width="55.42578125" style="1" bestFit="1" customWidth="1"/>
    <col min="2557" max="2557" width="12.85546875" style="1" customWidth="1"/>
    <col min="2558" max="2558" width="14.85546875" style="1" customWidth="1"/>
    <col min="2559" max="2559" width="14.28515625" style="1" customWidth="1"/>
    <col min="2560" max="2560" width="20.7109375" style="1" customWidth="1"/>
    <col min="2561" max="2561" width="21" style="1" customWidth="1"/>
    <col min="2562" max="2563" width="21.28515625" style="1" customWidth="1"/>
    <col min="2564" max="2565" width="22.42578125" style="1" bestFit="1" customWidth="1"/>
    <col min="2566" max="2566" width="22.28515625" style="1" bestFit="1" customWidth="1"/>
    <col min="2567" max="2567" width="16.7109375" style="1" customWidth="1"/>
    <col min="2568" max="2568" width="21.42578125" style="1" bestFit="1" customWidth="1"/>
    <col min="2569" max="2569" width="22.28515625" style="1" bestFit="1" customWidth="1"/>
    <col min="2570" max="2809" width="9.140625" style="1"/>
    <col min="2810" max="2810" width="4.28515625" style="1" customWidth="1"/>
    <col min="2811" max="2811" width="9.85546875" style="1" customWidth="1"/>
    <col min="2812" max="2812" width="55.42578125" style="1" bestFit="1" customWidth="1"/>
    <col min="2813" max="2813" width="12.85546875" style="1" customWidth="1"/>
    <col min="2814" max="2814" width="14.85546875" style="1" customWidth="1"/>
    <col min="2815" max="2815" width="14.28515625" style="1" customWidth="1"/>
    <col min="2816" max="2816" width="20.7109375" style="1" customWidth="1"/>
    <col min="2817" max="2817" width="21" style="1" customWidth="1"/>
    <col min="2818" max="2819" width="21.28515625" style="1" customWidth="1"/>
    <col min="2820" max="2821" width="22.42578125" style="1" bestFit="1" customWidth="1"/>
    <col min="2822" max="2822" width="22.28515625" style="1" bestFit="1" customWidth="1"/>
    <col min="2823" max="2823" width="16.7109375" style="1" customWidth="1"/>
    <col min="2824" max="2824" width="21.42578125" style="1" bestFit="1" customWidth="1"/>
    <col min="2825" max="2825" width="22.28515625" style="1" bestFit="1" customWidth="1"/>
    <col min="2826" max="3065" width="9.140625" style="1"/>
    <col min="3066" max="3066" width="4.28515625" style="1" customWidth="1"/>
    <col min="3067" max="3067" width="9.85546875" style="1" customWidth="1"/>
    <col min="3068" max="3068" width="55.42578125" style="1" bestFit="1" customWidth="1"/>
    <col min="3069" max="3069" width="12.85546875" style="1" customWidth="1"/>
    <col min="3070" max="3070" width="14.85546875" style="1" customWidth="1"/>
    <col min="3071" max="3071" width="14.28515625" style="1" customWidth="1"/>
    <col min="3072" max="3072" width="20.7109375" style="1" customWidth="1"/>
    <col min="3073" max="3073" width="21" style="1" customWidth="1"/>
    <col min="3074" max="3075" width="21.28515625" style="1" customWidth="1"/>
    <col min="3076" max="3077" width="22.42578125" style="1" bestFit="1" customWidth="1"/>
    <col min="3078" max="3078" width="22.28515625" style="1" bestFit="1" customWidth="1"/>
    <col min="3079" max="3079" width="16.7109375" style="1" customWidth="1"/>
    <col min="3080" max="3080" width="21.42578125" style="1" bestFit="1" customWidth="1"/>
    <col min="3081" max="3081" width="22.28515625" style="1" bestFit="1" customWidth="1"/>
    <col min="3082" max="3321" width="9.140625" style="1"/>
    <col min="3322" max="3322" width="4.28515625" style="1" customWidth="1"/>
    <col min="3323" max="3323" width="9.85546875" style="1" customWidth="1"/>
    <col min="3324" max="3324" width="55.42578125" style="1" bestFit="1" customWidth="1"/>
    <col min="3325" max="3325" width="12.85546875" style="1" customWidth="1"/>
    <col min="3326" max="3326" width="14.85546875" style="1" customWidth="1"/>
    <col min="3327" max="3327" width="14.28515625" style="1" customWidth="1"/>
    <col min="3328" max="3328" width="20.7109375" style="1" customWidth="1"/>
    <col min="3329" max="3329" width="21" style="1" customWidth="1"/>
    <col min="3330" max="3331" width="21.28515625" style="1" customWidth="1"/>
    <col min="3332" max="3333" width="22.42578125" style="1" bestFit="1" customWidth="1"/>
    <col min="3334" max="3334" width="22.28515625" style="1" bestFit="1" customWidth="1"/>
    <col min="3335" max="3335" width="16.7109375" style="1" customWidth="1"/>
    <col min="3336" max="3336" width="21.42578125" style="1" bestFit="1" customWidth="1"/>
    <col min="3337" max="3337" width="22.28515625" style="1" bestFit="1" customWidth="1"/>
    <col min="3338" max="3577" width="9.140625" style="1"/>
    <col min="3578" max="3578" width="4.28515625" style="1" customWidth="1"/>
    <col min="3579" max="3579" width="9.85546875" style="1" customWidth="1"/>
    <col min="3580" max="3580" width="55.42578125" style="1" bestFit="1" customWidth="1"/>
    <col min="3581" max="3581" width="12.85546875" style="1" customWidth="1"/>
    <col min="3582" max="3582" width="14.85546875" style="1" customWidth="1"/>
    <col min="3583" max="3583" width="14.28515625" style="1" customWidth="1"/>
    <col min="3584" max="3584" width="20.7109375" style="1" customWidth="1"/>
    <col min="3585" max="3585" width="21" style="1" customWidth="1"/>
    <col min="3586" max="3587" width="21.28515625" style="1" customWidth="1"/>
    <col min="3588" max="3589" width="22.42578125" style="1" bestFit="1" customWidth="1"/>
    <col min="3590" max="3590" width="22.28515625" style="1" bestFit="1" customWidth="1"/>
    <col min="3591" max="3591" width="16.7109375" style="1" customWidth="1"/>
    <col min="3592" max="3592" width="21.42578125" style="1" bestFit="1" customWidth="1"/>
    <col min="3593" max="3593" width="22.28515625" style="1" bestFit="1" customWidth="1"/>
    <col min="3594" max="3833" width="9.140625" style="1"/>
    <col min="3834" max="3834" width="4.28515625" style="1" customWidth="1"/>
    <col min="3835" max="3835" width="9.85546875" style="1" customWidth="1"/>
    <col min="3836" max="3836" width="55.42578125" style="1" bestFit="1" customWidth="1"/>
    <col min="3837" max="3837" width="12.85546875" style="1" customWidth="1"/>
    <col min="3838" max="3838" width="14.85546875" style="1" customWidth="1"/>
    <col min="3839" max="3839" width="14.28515625" style="1" customWidth="1"/>
    <col min="3840" max="3840" width="20.7109375" style="1" customWidth="1"/>
    <col min="3841" max="3841" width="21" style="1" customWidth="1"/>
    <col min="3842" max="3843" width="21.28515625" style="1" customWidth="1"/>
    <col min="3844" max="3845" width="22.42578125" style="1" bestFit="1" customWidth="1"/>
    <col min="3846" max="3846" width="22.28515625" style="1" bestFit="1" customWidth="1"/>
    <col min="3847" max="3847" width="16.7109375" style="1" customWidth="1"/>
    <col min="3848" max="3848" width="21.42578125" style="1" bestFit="1" customWidth="1"/>
    <col min="3849" max="3849" width="22.28515625" style="1" bestFit="1" customWidth="1"/>
    <col min="3850" max="4089" width="9.140625" style="1"/>
    <col min="4090" max="4090" width="4.28515625" style="1" customWidth="1"/>
    <col min="4091" max="4091" width="9.85546875" style="1" customWidth="1"/>
    <col min="4092" max="4092" width="55.42578125" style="1" bestFit="1" customWidth="1"/>
    <col min="4093" max="4093" width="12.85546875" style="1" customWidth="1"/>
    <col min="4094" max="4094" width="14.85546875" style="1" customWidth="1"/>
    <col min="4095" max="4095" width="14.28515625" style="1" customWidth="1"/>
    <col min="4096" max="4096" width="20.7109375" style="1" customWidth="1"/>
    <col min="4097" max="4097" width="21" style="1" customWidth="1"/>
    <col min="4098" max="4099" width="21.28515625" style="1" customWidth="1"/>
    <col min="4100" max="4101" width="22.42578125" style="1" bestFit="1" customWidth="1"/>
    <col min="4102" max="4102" width="22.28515625" style="1" bestFit="1" customWidth="1"/>
    <col min="4103" max="4103" width="16.7109375" style="1" customWidth="1"/>
    <col min="4104" max="4104" width="21.42578125" style="1" bestFit="1" customWidth="1"/>
    <col min="4105" max="4105" width="22.28515625" style="1" bestFit="1" customWidth="1"/>
    <col min="4106" max="4345" width="9.140625" style="1"/>
    <col min="4346" max="4346" width="4.28515625" style="1" customWidth="1"/>
    <col min="4347" max="4347" width="9.85546875" style="1" customWidth="1"/>
    <col min="4348" max="4348" width="55.42578125" style="1" bestFit="1" customWidth="1"/>
    <col min="4349" max="4349" width="12.85546875" style="1" customWidth="1"/>
    <col min="4350" max="4350" width="14.85546875" style="1" customWidth="1"/>
    <col min="4351" max="4351" width="14.28515625" style="1" customWidth="1"/>
    <col min="4352" max="4352" width="20.7109375" style="1" customWidth="1"/>
    <col min="4353" max="4353" width="21" style="1" customWidth="1"/>
    <col min="4354" max="4355" width="21.28515625" style="1" customWidth="1"/>
    <col min="4356" max="4357" width="22.42578125" style="1" bestFit="1" customWidth="1"/>
    <col min="4358" max="4358" width="22.28515625" style="1" bestFit="1" customWidth="1"/>
    <col min="4359" max="4359" width="16.7109375" style="1" customWidth="1"/>
    <col min="4360" max="4360" width="21.42578125" style="1" bestFit="1" customWidth="1"/>
    <col min="4361" max="4361" width="22.28515625" style="1" bestFit="1" customWidth="1"/>
    <col min="4362" max="4601" width="9.140625" style="1"/>
    <col min="4602" max="4602" width="4.28515625" style="1" customWidth="1"/>
    <col min="4603" max="4603" width="9.85546875" style="1" customWidth="1"/>
    <col min="4604" max="4604" width="55.42578125" style="1" bestFit="1" customWidth="1"/>
    <col min="4605" max="4605" width="12.85546875" style="1" customWidth="1"/>
    <col min="4606" max="4606" width="14.85546875" style="1" customWidth="1"/>
    <col min="4607" max="4607" width="14.28515625" style="1" customWidth="1"/>
    <col min="4608" max="4608" width="20.7109375" style="1" customWidth="1"/>
    <col min="4609" max="4609" width="21" style="1" customWidth="1"/>
    <col min="4610" max="4611" width="21.28515625" style="1" customWidth="1"/>
    <col min="4612" max="4613" width="22.42578125" style="1" bestFit="1" customWidth="1"/>
    <col min="4614" max="4614" width="22.28515625" style="1" bestFit="1" customWidth="1"/>
    <col min="4615" max="4615" width="16.7109375" style="1" customWidth="1"/>
    <col min="4616" max="4616" width="21.42578125" style="1" bestFit="1" customWidth="1"/>
    <col min="4617" max="4617" width="22.28515625" style="1" bestFit="1" customWidth="1"/>
    <col min="4618" max="4857" width="9.140625" style="1"/>
    <col min="4858" max="4858" width="4.28515625" style="1" customWidth="1"/>
    <col min="4859" max="4859" width="9.85546875" style="1" customWidth="1"/>
    <col min="4860" max="4860" width="55.42578125" style="1" bestFit="1" customWidth="1"/>
    <col min="4861" max="4861" width="12.85546875" style="1" customWidth="1"/>
    <col min="4862" max="4862" width="14.85546875" style="1" customWidth="1"/>
    <col min="4863" max="4863" width="14.28515625" style="1" customWidth="1"/>
    <col min="4864" max="4864" width="20.7109375" style="1" customWidth="1"/>
    <col min="4865" max="4865" width="21" style="1" customWidth="1"/>
    <col min="4866" max="4867" width="21.28515625" style="1" customWidth="1"/>
    <col min="4868" max="4869" width="22.42578125" style="1" bestFit="1" customWidth="1"/>
    <col min="4870" max="4870" width="22.28515625" style="1" bestFit="1" customWidth="1"/>
    <col min="4871" max="4871" width="16.7109375" style="1" customWidth="1"/>
    <col min="4872" max="4872" width="21.42578125" style="1" bestFit="1" customWidth="1"/>
    <col min="4873" max="4873" width="22.28515625" style="1" bestFit="1" customWidth="1"/>
    <col min="4874" max="5113" width="9.140625" style="1"/>
    <col min="5114" max="5114" width="4.28515625" style="1" customWidth="1"/>
    <col min="5115" max="5115" width="9.85546875" style="1" customWidth="1"/>
    <col min="5116" max="5116" width="55.42578125" style="1" bestFit="1" customWidth="1"/>
    <col min="5117" max="5117" width="12.85546875" style="1" customWidth="1"/>
    <col min="5118" max="5118" width="14.85546875" style="1" customWidth="1"/>
    <col min="5119" max="5119" width="14.28515625" style="1" customWidth="1"/>
    <col min="5120" max="5120" width="20.7109375" style="1" customWidth="1"/>
    <col min="5121" max="5121" width="21" style="1" customWidth="1"/>
    <col min="5122" max="5123" width="21.28515625" style="1" customWidth="1"/>
    <col min="5124" max="5125" width="22.42578125" style="1" bestFit="1" customWidth="1"/>
    <col min="5126" max="5126" width="22.28515625" style="1" bestFit="1" customWidth="1"/>
    <col min="5127" max="5127" width="16.7109375" style="1" customWidth="1"/>
    <col min="5128" max="5128" width="21.42578125" style="1" bestFit="1" customWidth="1"/>
    <col min="5129" max="5129" width="22.28515625" style="1" bestFit="1" customWidth="1"/>
    <col min="5130" max="5369" width="9.140625" style="1"/>
    <col min="5370" max="5370" width="4.28515625" style="1" customWidth="1"/>
    <col min="5371" max="5371" width="9.85546875" style="1" customWidth="1"/>
    <col min="5372" max="5372" width="55.42578125" style="1" bestFit="1" customWidth="1"/>
    <col min="5373" max="5373" width="12.85546875" style="1" customWidth="1"/>
    <col min="5374" max="5374" width="14.85546875" style="1" customWidth="1"/>
    <col min="5375" max="5375" width="14.28515625" style="1" customWidth="1"/>
    <col min="5376" max="5376" width="20.7109375" style="1" customWidth="1"/>
    <col min="5377" max="5377" width="21" style="1" customWidth="1"/>
    <col min="5378" max="5379" width="21.28515625" style="1" customWidth="1"/>
    <col min="5380" max="5381" width="22.42578125" style="1" bestFit="1" customWidth="1"/>
    <col min="5382" max="5382" width="22.28515625" style="1" bestFit="1" customWidth="1"/>
    <col min="5383" max="5383" width="16.7109375" style="1" customWidth="1"/>
    <col min="5384" max="5384" width="21.42578125" style="1" bestFit="1" customWidth="1"/>
    <col min="5385" max="5385" width="22.28515625" style="1" bestFit="1" customWidth="1"/>
    <col min="5386" max="5625" width="9.140625" style="1"/>
    <col min="5626" max="5626" width="4.28515625" style="1" customWidth="1"/>
    <col min="5627" max="5627" width="9.85546875" style="1" customWidth="1"/>
    <col min="5628" max="5628" width="55.42578125" style="1" bestFit="1" customWidth="1"/>
    <col min="5629" max="5629" width="12.85546875" style="1" customWidth="1"/>
    <col min="5630" max="5630" width="14.85546875" style="1" customWidth="1"/>
    <col min="5631" max="5631" width="14.28515625" style="1" customWidth="1"/>
    <col min="5632" max="5632" width="20.7109375" style="1" customWidth="1"/>
    <col min="5633" max="5633" width="21" style="1" customWidth="1"/>
    <col min="5634" max="5635" width="21.28515625" style="1" customWidth="1"/>
    <col min="5636" max="5637" width="22.42578125" style="1" bestFit="1" customWidth="1"/>
    <col min="5638" max="5638" width="22.28515625" style="1" bestFit="1" customWidth="1"/>
    <col min="5639" max="5639" width="16.7109375" style="1" customWidth="1"/>
    <col min="5640" max="5640" width="21.42578125" style="1" bestFit="1" customWidth="1"/>
    <col min="5641" max="5641" width="22.28515625" style="1" bestFit="1" customWidth="1"/>
    <col min="5642" max="5881" width="9.140625" style="1"/>
    <col min="5882" max="5882" width="4.28515625" style="1" customWidth="1"/>
    <col min="5883" max="5883" width="9.85546875" style="1" customWidth="1"/>
    <col min="5884" max="5884" width="55.42578125" style="1" bestFit="1" customWidth="1"/>
    <col min="5885" max="5885" width="12.85546875" style="1" customWidth="1"/>
    <col min="5886" max="5886" width="14.85546875" style="1" customWidth="1"/>
    <col min="5887" max="5887" width="14.28515625" style="1" customWidth="1"/>
    <col min="5888" max="5888" width="20.7109375" style="1" customWidth="1"/>
    <col min="5889" max="5889" width="21" style="1" customWidth="1"/>
    <col min="5890" max="5891" width="21.28515625" style="1" customWidth="1"/>
    <col min="5892" max="5893" width="22.42578125" style="1" bestFit="1" customWidth="1"/>
    <col min="5894" max="5894" width="22.28515625" style="1" bestFit="1" customWidth="1"/>
    <col min="5895" max="5895" width="16.7109375" style="1" customWidth="1"/>
    <col min="5896" max="5896" width="21.42578125" style="1" bestFit="1" customWidth="1"/>
    <col min="5897" max="5897" width="22.28515625" style="1" bestFit="1" customWidth="1"/>
    <col min="5898" max="6137" width="9.140625" style="1"/>
    <col min="6138" max="6138" width="4.28515625" style="1" customWidth="1"/>
    <col min="6139" max="6139" width="9.85546875" style="1" customWidth="1"/>
    <col min="6140" max="6140" width="55.42578125" style="1" bestFit="1" customWidth="1"/>
    <col min="6141" max="6141" width="12.85546875" style="1" customWidth="1"/>
    <col min="6142" max="6142" width="14.85546875" style="1" customWidth="1"/>
    <col min="6143" max="6143" width="14.28515625" style="1" customWidth="1"/>
    <col min="6144" max="6144" width="20.7109375" style="1" customWidth="1"/>
    <col min="6145" max="6145" width="21" style="1" customWidth="1"/>
    <col min="6146" max="6147" width="21.28515625" style="1" customWidth="1"/>
    <col min="6148" max="6149" width="22.42578125" style="1" bestFit="1" customWidth="1"/>
    <col min="6150" max="6150" width="22.28515625" style="1" bestFit="1" customWidth="1"/>
    <col min="6151" max="6151" width="16.7109375" style="1" customWidth="1"/>
    <col min="6152" max="6152" width="21.42578125" style="1" bestFit="1" customWidth="1"/>
    <col min="6153" max="6153" width="22.28515625" style="1" bestFit="1" customWidth="1"/>
    <col min="6154" max="6393" width="9.140625" style="1"/>
    <col min="6394" max="6394" width="4.28515625" style="1" customWidth="1"/>
    <col min="6395" max="6395" width="9.85546875" style="1" customWidth="1"/>
    <col min="6396" max="6396" width="55.42578125" style="1" bestFit="1" customWidth="1"/>
    <col min="6397" max="6397" width="12.85546875" style="1" customWidth="1"/>
    <col min="6398" max="6398" width="14.85546875" style="1" customWidth="1"/>
    <col min="6399" max="6399" width="14.28515625" style="1" customWidth="1"/>
    <col min="6400" max="6400" width="20.7109375" style="1" customWidth="1"/>
    <col min="6401" max="6401" width="21" style="1" customWidth="1"/>
    <col min="6402" max="6403" width="21.28515625" style="1" customWidth="1"/>
    <col min="6404" max="6405" width="22.42578125" style="1" bestFit="1" customWidth="1"/>
    <col min="6406" max="6406" width="22.28515625" style="1" bestFit="1" customWidth="1"/>
    <col min="6407" max="6407" width="16.7109375" style="1" customWidth="1"/>
    <col min="6408" max="6408" width="21.42578125" style="1" bestFit="1" customWidth="1"/>
    <col min="6409" max="6409" width="22.28515625" style="1" bestFit="1" customWidth="1"/>
    <col min="6410" max="6649" width="9.140625" style="1"/>
    <col min="6650" max="6650" width="4.28515625" style="1" customWidth="1"/>
    <col min="6651" max="6651" width="9.85546875" style="1" customWidth="1"/>
    <col min="6652" max="6652" width="55.42578125" style="1" bestFit="1" customWidth="1"/>
    <col min="6653" max="6653" width="12.85546875" style="1" customWidth="1"/>
    <col min="6654" max="6654" width="14.85546875" style="1" customWidth="1"/>
    <col min="6655" max="6655" width="14.28515625" style="1" customWidth="1"/>
    <col min="6656" max="6656" width="20.7109375" style="1" customWidth="1"/>
    <col min="6657" max="6657" width="21" style="1" customWidth="1"/>
    <col min="6658" max="6659" width="21.28515625" style="1" customWidth="1"/>
    <col min="6660" max="6661" width="22.42578125" style="1" bestFit="1" customWidth="1"/>
    <col min="6662" max="6662" width="22.28515625" style="1" bestFit="1" customWidth="1"/>
    <col min="6663" max="6663" width="16.7109375" style="1" customWidth="1"/>
    <col min="6664" max="6664" width="21.42578125" style="1" bestFit="1" customWidth="1"/>
    <col min="6665" max="6665" width="22.28515625" style="1" bestFit="1" customWidth="1"/>
    <col min="6666" max="6905" width="9.140625" style="1"/>
    <col min="6906" max="6906" width="4.28515625" style="1" customWidth="1"/>
    <col min="6907" max="6907" width="9.85546875" style="1" customWidth="1"/>
    <col min="6908" max="6908" width="55.42578125" style="1" bestFit="1" customWidth="1"/>
    <col min="6909" max="6909" width="12.85546875" style="1" customWidth="1"/>
    <col min="6910" max="6910" width="14.85546875" style="1" customWidth="1"/>
    <col min="6911" max="6911" width="14.28515625" style="1" customWidth="1"/>
    <col min="6912" max="6912" width="20.7109375" style="1" customWidth="1"/>
    <col min="6913" max="6913" width="21" style="1" customWidth="1"/>
    <col min="6914" max="6915" width="21.28515625" style="1" customWidth="1"/>
    <col min="6916" max="6917" width="22.42578125" style="1" bestFit="1" customWidth="1"/>
    <col min="6918" max="6918" width="22.28515625" style="1" bestFit="1" customWidth="1"/>
    <col min="6919" max="6919" width="16.7109375" style="1" customWidth="1"/>
    <col min="6920" max="6920" width="21.42578125" style="1" bestFit="1" customWidth="1"/>
    <col min="6921" max="6921" width="22.28515625" style="1" bestFit="1" customWidth="1"/>
    <col min="6922" max="7161" width="9.140625" style="1"/>
    <col min="7162" max="7162" width="4.28515625" style="1" customWidth="1"/>
    <col min="7163" max="7163" width="9.85546875" style="1" customWidth="1"/>
    <col min="7164" max="7164" width="55.42578125" style="1" bestFit="1" customWidth="1"/>
    <col min="7165" max="7165" width="12.85546875" style="1" customWidth="1"/>
    <col min="7166" max="7166" width="14.85546875" style="1" customWidth="1"/>
    <col min="7167" max="7167" width="14.28515625" style="1" customWidth="1"/>
    <col min="7168" max="7168" width="20.7109375" style="1" customWidth="1"/>
    <col min="7169" max="7169" width="21" style="1" customWidth="1"/>
    <col min="7170" max="7171" width="21.28515625" style="1" customWidth="1"/>
    <col min="7172" max="7173" width="22.42578125" style="1" bestFit="1" customWidth="1"/>
    <col min="7174" max="7174" width="22.28515625" style="1" bestFit="1" customWidth="1"/>
    <col min="7175" max="7175" width="16.7109375" style="1" customWidth="1"/>
    <col min="7176" max="7176" width="21.42578125" style="1" bestFit="1" customWidth="1"/>
    <col min="7177" max="7177" width="22.28515625" style="1" bestFit="1" customWidth="1"/>
    <col min="7178" max="7417" width="9.140625" style="1"/>
    <col min="7418" max="7418" width="4.28515625" style="1" customWidth="1"/>
    <col min="7419" max="7419" width="9.85546875" style="1" customWidth="1"/>
    <col min="7420" max="7420" width="55.42578125" style="1" bestFit="1" customWidth="1"/>
    <col min="7421" max="7421" width="12.85546875" style="1" customWidth="1"/>
    <col min="7422" max="7422" width="14.85546875" style="1" customWidth="1"/>
    <col min="7423" max="7423" width="14.28515625" style="1" customWidth="1"/>
    <col min="7424" max="7424" width="20.7109375" style="1" customWidth="1"/>
    <col min="7425" max="7425" width="21" style="1" customWidth="1"/>
    <col min="7426" max="7427" width="21.28515625" style="1" customWidth="1"/>
    <col min="7428" max="7429" width="22.42578125" style="1" bestFit="1" customWidth="1"/>
    <col min="7430" max="7430" width="22.28515625" style="1" bestFit="1" customWidth="1"/>
    <col min="7431" max="7431" width="16.7109375" style="1" customWidth="1"/>
    <col min="7432" max="7432" width="21.42578125" style="1" bestFit="1" customWidth="1"/>
    <col min="7433" max="7433" width="22.28515625" style="1" bestFit="1" customWidth="1"/>
    <col min="7434" max="7673" width="9.140625" style="1"/>
    <col min="7674" max="7674" width="4.28515625" style="1" customWidth="1"/>
    <col min="7675" max="7675" width="9.85546875" style="1" customWidth="1"/>
    <col min="7676" max="7676" width="55.42578125" style="1" bestFit="1" customWidth="1"/>
    <col min="7677" max="7677" width="12.85546875" style="1" customWidth="1"/>
    <col min="7678" max="7678" width="14.85546875" style="1" customWidth="1"/>
    <col min="7679" max="7679" width="14.28515625" style="1" customWidth="1"/>
    <col min="7680" max="7680" width="20.7109375" style="1" customWidth="1"/>
    <col min="7681" max="7681" width="21" style="1" customWidth="1"/>
    <col min="7682" max="7683" width="21.28515625" style="1" customWidth="1"/>
    <col min="7684" max="7685" width="22.42578125" style="1" bestFit="1" customWidth="1"/>
    <col min="7686" max="7686" width="22.28515625" style="1" bestFit="1" customWidth="1"/>
    <col min="7687" max="7687" width="16.7109375" style="1" customWidth="1"/>
    <col min="7688" max="7688" width="21.42578125" style="1" bestFit="1" customWidth="1"/>
    <col min="7689" max="7689" width="22.28515625" style="1" bestFit="1" customWidth="1"/>
    <col min="7690" max="7929" width="9.140625" style="1"/>
    <col min="7930" max="7930" width="4.28515625" style="1" customWidth="1"/>
    <col min="7931" max="7931" width="9.85546875" style="1" customWidth="1"/>
    <col min="7932" max="7932" width="55.42578125" style="1" bestFit="1" customWidth="1"/>
    <col min="7933" max="7933" width="12.85546875" style="1" customWidth="1"/>
    <col min="7934" max="7934" width="14.85546875" style="1" customWidth="1"/>
    <col min="7935" max="7935" width="14.28515625" style="1" customWidth="1"/>
    <col min="7936" max="7936" width="20.7109375" style="1" customWidth="1"/>
    <col min="7937" max="7937" width="21" style="1" customWidth="1"/>
    <col min="7938" max="7939" width="21.28515625" style="1" customWidth="1"/>
    <col min="7940" max="7941" width="22.42578125" style="1" bestFit="1" customWidth="1"/>
    <col min="7942" max="7942" width="22.28515625" style="1" bestFit="1" customWidth="1"/>
    <col min="7943" max="7943" width="16.7109375" style="1" customWidth="1"/>
    <col min="7944" max="7944" width="21.42578125" style="1" bestFit="1" customWidth="1"/>
    <col min="7945" max="7945" width="22.28515625" style="1" bestFit="1" customWidth="1"/>
    <col min="7946" max="8185" width="9.140625" style="1"/>
    <col min="8186" max="8186" width="4.28515625" style="1" customWidth="1"/>
    <col min="8187" max="8187" width="9.85546875" style="1" customWidth="1"/>
    <col min="8188" max="8188" width="55.42578125" style="1" bestFit="1" customWidth="1"/>
    <col min="8189" max="8189" width="12.85546875" style="1" customWidth="1"/>
    <col min="8190" max="8190" width="14.85546875" style="1" customWidth="1"/>
    <col min="8191" max="8191" width="14.28515625" style="1" customWidth="1"/>
    <col min="8192" max="8192" width="20.7109375" style="1" customWidth="1"/>
    <col min="8193" max="8193" width="21" style="1" customWidth="1"/>
    <col min="8194" max="8195" width="21.28515625" style="1" customWidth="1"/>
    <col min="8196" max="8197" width="22.42578125" style="1" bestFit="1" customWidth="1"/>
    <col min="8198" max="8198" width="22.28515625" style="1" bestFit="1" customWidth="1"/>
    <col min="8199" max="8199" width="16.7109375" style="1" customWidth="1"/>
    <col min="8200" max="8200" width="21.42578125" style="1" bestFit="1" customWidth="1"/>
    <col min="8201" max="8201" width="22.28515625" style="1" bestFit="1" customWidth="1"/>
    <col min="8202" max="8441" width="9.140625" style="1"/>
    <col min="8442" max="8442" width="4.28515625" style="1" customWidth="1"/>
    <col min="8443" max="8443" width="9.85546875" style="1" customWidth="1"/>
    <col min="8444" max="8444" width="55.42578125" style="1" bestFit="1" customWidth="1"/>
    <col min="8445" max="8445" width="12.85546875" style="1" customWidth="1"/>
    <col min="8446" max="8446" width="14.85546875" style="1" customWidth="1"/>
    <col min="8447" max="8447" width="14.28515625" style="1" customWidth="1"/>
    <col min="8448" max="8448" width="20.7109375" style="1" customWidth="1"/>
    <col min="8449" max="8449" width="21" style="1" customWidth="1"/>
    <col min="8450" max="8451" width="21.28515625" style="1" customWidth="1"/>
    <col min="8452" max="8453" width="22.42578125" style="1" bestFit="1" customWidth="1"/>
    <col min="8454" max="8454" width="22.28515625" style="1" bestFit="1" customWidth="1"/>
    <col min="8455" max="8455" width="16.7109375" style="1" customWidth="1"/>
    <col min="8456" max="8456" width="21.42578125" style="1" bestFit="1" customWidth="1"/>
    <col min="8457" max="8457" width="22.28515625" style="1" bestFit="1" customWidth="1"/>
    <col min="8458" max="8697" width="9.140625" style="1"/>
    <col min="8698" max="8698" width="4.28515625" style="1" customWidth="1"/>
    <col min="8699" max="8699" width="9.85546875" style="1" customWidth="1"/>
    <col min="8700" max="8700" width="55.42578125" style="1" bestFit="1" customWidth="1"/>
    <col min="8701" max="8701" width="12.85546875" style="1" customWidth="1"/>
    <col min="8702" max="8702" width="14.85546875" style="1" customWidth="1"/>
    <col min="8703" max="8703" width="14.28515625" style="1" customWidth="1"/>
    <col min="8704" max="8704" width="20.7109375" style="1" customWidth="1"/>
    <col min="8705" max="8705" width="21" style="1" customWidth="1"/>
    <col min="8706" max="8707" width="21.28515625" style="1" customWidth="1"/>
    <col min="8708" max="8709" width="22.42578125" style="1" bestFit="1" customWidth="1"/>
    <col min="8710" max="8710" width="22.28515625" style="1" bestFit="1" customWidth="1"/>
    <col min="8711" max="8711" width="16.7109375" style="1" customWidth="1"/>
    <col min="8712" max="8712" width="21.42578125" style="1" bestFit="1" customWidth="1"/>
    <col min="8713" max="8713" width="22.28515625" style="1" bestFit="1" customWidth="1"/>
    <col min="8714" max="8953" width="9.140625" style="1"/>
    <col min="8954" max="8954" width="4.28515625" style="1" customWidth="1"/>
    <col min="8955" max="8955" width="9.85546875" style="1" customWidth="1"/>
    <col min="8956" max="8956" width="55.42578125" style="1" bestFit="1" customWidth="1"/>
    <col min="8957" max="8957" width="12.85546875" style="1" customWidth="1"/>
    <col min="8958" max="8958" width="14.85546875" style="1" customWidth="1"/>
    <col min="8959" max="8959" width="14.28515625" style="1" customWidth="1"/>
    <col min="8960" max="8960" width="20.7109375" style="1" customWidth="1"/>
    <col min="8961" max="8961" width="21" style="1" customWidth="1"/>
    <col min="8962" max="8963" width="21.28515625" style="1" customWidth="1"/>
    <col min="8964" max="8965" width="22.42578125" style="1" bestFit="1" customWidth="1"/>
    <col min="8966" max="8966" width="22.28515625" style="1" bestFit="1" customWidth="1"/>
    <col min="8967" max="8967" width="16.7109375" style="1" customWidth="1"/>
    <col min="8968" max="8968" width="21.42578125" style="1" bestFit="1" customWidth="1"/>
    <col min="8969" max="8969" width="22.28515625" style="1" bestFit="1" customWidth="1"/>
    <col min="8970" max="9209" width="9.140625" style="1"/>
    <col min="9210" max="9210" width="4.28515625" style="1" customWidth="1"/>
    <col min="9211" max="9211" width="9.85546875" style="1" customWidth="1"/>
    <col min="9212" max="9212" width="55.42578125" style="1" bestFit="1" customWidth="1"/>
    <col min="9213" max="9213" width="12.85546875" style="1" customWidth="1"/>
    <col min="9214" max="9214" width="14.85546875" style="1" customWidth="1"/>
    <col min="9215" max="9215" width="14.28515625" style="1" customWidth="1"/>
    <col min="9216" max="9216" width="20.7109375" style="1" customWidth="1"/>
    <col min="9217" max="9217" width="21" style="1" customWidth="1"/>
    <col min="9218" max="9219" width="21.28515625" style="1" customWidth="1"/>
    <col min="9220" max="9221" width="22.42578125" style="1" bestFit="1" customWidth="1"/>
    <col min="9222" max="9222" width="22.28515625" style="1" bestFit="1" customWidth="1"/>
    <col min="9223" max="9223" width="16.7109375" style="1" customWidth="1"/>
    <col min="9224" max="9224" width="21.42578125" style="1" bestFit="1" customWidth="1"/>
    <col min="9225" max="9225" width="22.28515625" style="1" bestFit="1" customWidth="1"/>
    <col min="9226" max="9465" width="9.140625" style="1"/>
    <col min="9466" max="9466" width="4.28515625" style="1" customWidth="1"/>
    <col min="9467" max="9467" width="9.85546875" style="1" customWidth="1"/>
    <col min="9468" max="9468" width="55.42578125" style="1" bestFit="1" customWidth="1"/>
    <col min="9469" max="9469" width="12.85546875" style="1" customWidth="1"/>
    <col min="9470" max="9470" width="14.85546875" style="1" customWidth="1"/>
    <col min="9471" max="9471" width="14.28515625" style="1" customWidth="1"/>
    <col min="9472" max="9472" width="20.7109375" style="1" customWidth="1"/>
    <col min="9473" max="9473" width="21" style="1" customWidth="1"/>
    <col min="9474" max="9475" width="21.28515625" style="1" customWidth="1"/>
    <col min="9476" max="9477" width="22.42578125" style="1" bestFit="1" customWidth="1"/>
    <col min="9478" max="9478" width="22.28515625" style="1" bestFit="1" customWidth="1"/>
    <col min="9479" max="9479" width="16.7109375" style="1" customWidth="1"/>
    <col min="9480" max="9480" width="21.42578125" style="1" bestFit="1" customWidth="1"/>
    <col min="9481" max="9481" width="22.28515625" style="1" bestFit="1" customWidth="1"/>
    <col min="9482" max="9721" width="9.140625" style="1"/>
    <col min="9722" max="9722" width="4.28515625" style="1" customWidth="1"/>
    <col min="9723" max="9723" width="9.85546875" style="1" customWidth="1"/>
    <col min="9724" max="9724" width="55.42578125" style="1" bestFit="1" customWidth="1"/>
    <col min="9725" max="9725" width="12.85546875" style="1" customWidth="1"/>
    <col min="9726" max="9726" width="14.85546875" style="1" customWidth="1"/>
    <col min="9727" max="9727" width="14.28515625" style="1" customWidth="1"/>
    <col min="9728" max="9728" width="20.7109375" style="1" customWidth="1"/>
    <col min="9729" max="9729" width="21" style="1" customWidth="1"/>
    <col min="9730" max="9731" width="21.28515625" style="1" customWidth="1"/>
    <col min="9732" max="9733" width="22.42578125" style="1" bestFit="1" customWidth="1"/>
    <col min="9734" max="9734" width="22.28515625" style="1" bestFit="1" customWidth="1"/>
    <col min="9735" max="9735" width="16.7109375" style="1" customWidth="1"/>
    <col min="9736" max="9736" width="21.42578125" style="1" bestFit="1" customWidth="1"/>
    <col min="9737" max="9737" width="22.28515625" style="1" bestFit="1" customWidth="1"/>
    <col min="9738" max="9977" width="9.140625" style="1"/>
    <col min="9978" max="9978" width="4.28515625" style="1" customWidth="1"/>
    <col min="9979" max="9979" width="9.85546875" style="1" customWidth="1"/>
    <col min="9980" max="9980" width="55.42578125" style="1" bestFit="1" customWidth="1"/>
    <col min="9981" max="9981" width="12.85546875" style="1" customWidth="1"/>
    <col min="9982" max="9982" width="14.85546875" style="1" customWidth="1"/>
    <col min="9983" max="9983" width="14.28515625" style="1" customWidth="1"/>
    <col min="9984" max="9984" width="20.7109375" style="1" customWidth="1"/>
    <col min="9985" max="9985" width="21" style="1" customWidth="1"/>
    <col min="9986" max="9987" width="21.28515625" style="1" customWidth="1"/>
    <col min="9988" max="9989" width="22.42578125" style="1" bestFit="1" customWidth="1"/>
    <col min="9990" max="9990" width="22.28515625" style="1" bestFit="1" customWidth="1"/>
    <col min="9991" max="9991" width="16.7109375" style="1" customWidth="1"/>
    <col min="9992" max="9992" width="21.42578125" style="1" bestFit="1" customWidth="1"/>
    <col min="9993" max="9993" width="22.28515625" style="1" bestFit="1" customWidth="1"/>
    <col min="9994" max="10233" width="9.140625" style="1"/>
    <col min="10234" max="10234" width="4.28515625" style="1" customWidth="1"/>
    <col min="10235" max="10235" width="9.85546875" style="1" customWidth="1"/>
    <col min="10236" max="10236" width="55.42578125" style="1" bestFit="1" customWidth="1"/>
    <col min="10237" max="10237" width="12.85546875" style="1" customWidth="1"/>
    <col min="10238" max="10238" width="14.85546875" style="1" customWidth="1"/>
    <col min="10239" max="10239" width="14.28515625" style="1" customWidth="1"/>
    <col min="10240" max="10240" width="20.7109375" style="1" customWidth="1"/>
    <col min="10241" max="10241" width="21" style="1" customWidth="1"/>
    <col min="10242" max="10243" width="21.28515625" style="1" customWidth="1"/>
    <col min="10244" max="10245" width="22.42578125" style="1" bestFit="1" customWidth="1"/>
    <col min="10246" max="10246" width="22.28515625" style="1" bestFit="1" customWidth="1"/>
    <col min="10247" max="10247" width="16.7109375" style="1" customWidth="1"/>
    <col min="10248" max="10248" width="21.42578125" style="1" bestFit="1" customWidth="1"/>
    <col min="10249" max="10249" width="22.28515625" style="1" bestFit="1" customWidth="1"/>
    <col min="10250" max="10489" width="9.140625" style="1"/>
    <col min="10490" max="10490" width="4.28515625" style="1" customWidth="1"/>
    <col min="10491" max="10491" width="9.85546875" style="1" customWidth="1"/>
    <col min="10492" max="10492" width="55.42578125" style="1" bestFit="1" customWidth="1"/>
    <col min="10493" max="10493" width="12.85546875" style="1" customWidth="1"/>
    <col min="10494" max="10494" width="14.85546875" style="1" customWidth="1"/>
    <col min="10495" max="10495" width="14.28515625" style="1" customWidth="1"/>
    <col min="10496" max="10496" width="20.7109375" style="1" customWidth="1"/>
    <col min="10497" max="10497" width="21" style="1" customWidth="1"/>
    <col min="10498" max="10499" width="21.28515625" style="1" customWidth="1"/>
    <col min="10500" max="10501" width="22.42578125" style="1" bestFit="1" customWidth="1"/>
    <col min="10502" max="10502" width="22.28515625" style="1" bestFit="1" customWidth="1"/>
    <col min="10503" max="10503" width="16.7109375" style="1" customWidth="1"/>
    <col min="10504" max="10504" width="21.42578125" style="1" bestFit="1" customWidth="1"/>
    <col min="10505" max="10505" width="22.28515625" style="1" bestFit="1" customWidth="1"/>
    <col min="10506" max="10745" width="9.140625" style="1"/>
    <col min="10746" max="10746" width="4.28515625" style="1" customWidth="1"/>
    <col min="10747" max="10747" width="9.85546875" style="1" customWidth="1"/>
    <col min="10748" max="10748" width="55.42578125" style="1" bestFit="1" customWidth="1"/>
    <col min="10749" max="10749" width="12.85546875" style="1" customWidth="1"/>
    <col min="10750" max="10750" width="14.85546875" style="1" customWidth="1"/>
    <col min="10751" max="10751" width="14.28515625" style="1" customWidth="1"/>
    <col min="10752" max="10752" width="20.7109375" style="1" customWidth="1"/>
    <col min="10753" max="10753" width="21" style="1" customWidth="1"/>
    <col min="10754" max="10755" width="21.28515625" style="1" customWidth="1"/>
    <col min="10756" max="10757" width="22.42578125" style="1" bestFit="1" customWidth="1"/>
    <col min="10758" max="10758" width="22.28515625" style="1" bestFit="1" customWidth="1"/>
    <col min="10759" max="10759" width="16.7109375" style="1" customWidth="1"/>
    <col min="10760" max="10760" width="21.42578125" style="1" bestFit="1" customWidth="1"/>
    <col min="10761" max="10761" width="22.28515625" style="1" bestFit="1" customWidth="1"/>
    <col min="10762" max="11001" width="9.140625" style="1"/>
    <col min="11002" max="11002" width="4.28515625" style="1" customWidth="1"/>
    <col min="11003" max="11003" width="9.85546875" style="1" customWidth="1"/>
    <col min="11004" max="11004" width="55.42578125" style="1" bestFit="1" customWidth="1"/>
    <col min="11005" max="11005" width="12.85546875" style="1" customWidth="1"/>
    <col min="11006" max="11006" width="14.85546875" style="1" customWidth="1"/>
    <col min="11007" max="11007" width="14.28515625" style="1" customWidth="1"/>
    <col min="11008" max="11008" width="20.7109375" style="1" customWidth="1"/>
    <col min="11009" max="11009" width="21" style="1" customWidth="1"/>
    <col min="11010" max="11011" width="21.28515625" style="1" customWidth="1"/>
    <col min="11012" max="11013" width="22.42578125" style="1" bestFit="1" customWidth="1"/>
    <col min="11014" max="11014" width="22.28515625" style="1" bestFit="1" customWidth="1"/>
    <col min="11015" max="11015" width="16.7109375" style="1" customWidth="1"/>
    <col min="11016" max="11016" width="21.42578125" style="1" bestFit="1" customWidth="1"/>
    <col min="11017" max="11017" width="22.28515625" style="1" bestFit="1" customWidth="1"/>
    <col min="11018" max="11257" width="9.140625" style="1"/>
    <col min="11258" max="11258" width="4.28515625" style="1" customWidth="1"/>
    <col min="11259" max="11259" width="9.85546875" style="1" customWidth="1"/>
    <col min="11260" max="11260" width="55.42578125" style="1" bestFit="1" customWidth="1"/>
    <col min="11261" max="11261" width="12.85546875" style="1" customWidth="1"/>
    <col min="11262" max="11262" width="14.85546875" style="1" customWidth="1"/>
    <col min="11263" max="11263" width="14.28515625" style="1" customWidth="1"/>
    <col min="11264" max="11264" width="20.7109375" style="1" customWidth="1"/>
    <col min="11265" max="11265" width="21" style="1" customWidth="1"/>
    <col min="11266" max="11267" width="21.28515625" style="1" customWidth="1"/>
    <col min="11268" max="11269" width="22.42578125" style="1" bestFit="1" customWidth="1"/>
    <col min="11270" max="11270" width="22.28515625" style="1" bestFit="1" customWidth="1"/>
    <col min="11271" max="11271" width="16.7109375" style="1" customWidth="1"/>
    <col min="11272" max="11272" width="21.42578125" style="1" bestFit="1" customWidth="1"/>
    <col min="11273" max="11273" width="22.28515625" style="1" bestFit="1" customWidth="1"/>
    <col min="11274" max="11513" width="9.140625" style="1"/>
    <col min="11514" max="11514" width="4.28515625" style="1" customWidth="1"/>
    <col min="11515" max="11515" width="9.85546875" style="1" customWidth="1"/>
    <col min="11516" max="11516" width="55.42578125" style="1" bestFit="1" customWidth="1"/>
    <col min="11517" max="11517" width="12.85546875" style="1" customWidth="1"/>
    <col min="11518" max="11518" width="14.85546875" style="1" customWidth="1"/>
    <col min="11519" max="11519" width="14.28515625" style="1" customWidth="1"/>
    <col min="11520" max="11520" width="20.7109375" style="1" customWidth="1"/>
    <col min="11521" max="11521" width="21" style="1" customWidth="1"/>
    <col min="11522" max="11523" width="21.28515625" style="1" customWidth="1"/>
    <col min="11524" max="11525" width="22.42578125" style="1" bestFit="1" customWidth="1"/>
    <col min="11526" max="11526" width="22.28515625" style="1" bestFit="1" customWidth="1"/>
    <col min="11527" max="11527" width="16.7109375" style="1" customWidth="1"/>
    <col min="11528" max="11528" width="21.42578125" style="1" bestFit="1" customWidth="1"/>
    <col min="11529" max="11529" width="22.28515625" style="1" bestFit="1" customWidth="1"/>
    <col min="11530" max="11769" width="9.140625" style="1"/>
    <col min="11770" max="11770" width="4.28515625" style="1" customWidth="1"/>
    <col min="11771" max="11771" width="9.85546875" style="1" customWidth="1"/>
    <col min="11772" max="11772" width="55.42578125" style="1" bestFit="1" customWidth="1"/>
    <col min="11773" max="11773" width="12.85546875" style="1" customWidth="1"/>
    <col min="11774" max="11774" width="14.85546875" style="1" customWidth="1"/>
    <col min="11775" max="11775" width="14.28515625" style="1" customWidth="1"/>
    <col min="11776" max="11776" width="20.7109375" style="1" customWidth="1"/>
    <col min="11777" max="11777" width="21" style="1" customWidth="1"/>
    <col min="11778" max="11779" width="21.28515625" style="1" customWidth="1"/>
    <col min="11780" max="11781" width="22.42578125" style="1" bestFit="1" customWidth="1"/>
    <col min="11782" max="11782" width="22.28515625" style="1" bestFit="1" customWidth="1"/>
    <col min="11783" max="11783" width="16.7109375" style="1" customWidth="1"/>
    <col min="11784" max="11784" width="21.42578125" style="1" bestFit="1" customWidth="1"/>
    <col min="11785" max="11785" width="22.28515625" style="1" bestFit="1" customWidth="1"/>
    <col min="11786" max="12025" width="9.140625" style="1"/>
    <col min="12026" max="12026" width="4.28515625" style="1" customWidth="1"/>
    <col min="12027" max="12027" width="9.85546875" style="1" customWidth="1"/>
    <col min="12028" max="12028" width="55.42578125" style="1" bestFit="1" customWidth="1"/>
    <col min="12029" max="12029" width="12.85546875" style="1" customWidth="1"/>
    <col min="12030" max="12030" width="14.85546875" style="1" customWidth="1"/>
    <col min="12031" max="12031" width="14.28515625" style="1" customWidth="1"/>
    <col min="12032" max="12032" width="20.7109375" style="1" customWidth="1"/>
    <col min="12033" max="12033" width="21" style="1" customWidth="1"/>
    <col min="12034" max="12035" width="21.28515625" style="1" customWidth="1"/>
    <col min="12036" max="12037" width="22.42578125" style="1" bestFit="1" customWidth="1"/>
    <col min="12038" max="12038" width="22.28515625" style="1" bestFit="1" customWidth="1"/>
    <col min="12039" max="12039" width="16.7109375" style="1" customWidth="1"/>
    <col min="12040" max="12040" width="21.42578125" style="1" bestFit="1" customWidth="1"/>
    <col min="12041" max="12041" width="22.28515625" style="1" bestFit="1" customWidth="1"/>
    <col min="12042" max="12281" width="9.140625" style="1"/>
    <col min="12282" max="12282" width="4.28515625" style="1" customWidth="1"/>
    <col min="12283" max="12283" width="9.85546875" style="1" customWidth="1"/>
    <col min="12284" max="12284" width="55.42578125" style="1" bestFit="1" customWidth="1"/>
    <col min="12285" max="12285" width="12.85546875" style="1" customWidth="1"/>
    <col min="12286" max="12286" width="14.85546875" style="1" customWidth="1"/>
    <col min="12287" max="12287" width="14.28515625" style="1" customWidth="1"/>
    <col min="12288" max="12288" width="20.7109375" style="1" customWidth="1"/>
    <col min="12289" max="12289" width="21" style="1" customWidth="1"/>
    <col min="12290" max="12291" width="21.28515625" style="1" customWidth="1"/>
    <col min="12292" max="12293" width="22.42578125" style="1" bestFit="1" customWidth="1"/>
    <col min="12294" max="12294" width="22.28515625" style="1" bestFit="1" customWidth="1"/>
    <col min="12295" max="12295" width="16.7109375" style="1" customWidth="1"/>
    <col min="12296" max="12296" width="21.42578125" style="1" bestFit="1" customWidth="1"/>
    <col min="12297" max="12297" width="22.28515625" style="1" bestFit="1" customWidth="1"/>
    <col min="12298" max="12537" width="9.140625" style="1"/>
    <col min="12538" max="12538" width="4.28515625" style="1" customWidth="1"/>
    <col min="12539" max="12539" width="9.85546875" style="1" customWidth="1"/>
    <col min="12540" max="12540" width="55.42578125" style="1" bestFit="1" customWidth="1"/>
    <col min="12541" max="12541" width="12.85546875" style="1" customWidth="1"/>
    <col min="12542" max="12542" width="14.85546875" style="1" customWidth="1"/>
    <col min="12543" max="12543" width="14.28515625" style="1" customWidth="1"/>
    <col min="12544" max="12544" width="20.7109375" style="1" customWidth="1"/>
    <col min="12545" max="12545" width="21" style="1" customWidth="1"/>
    <col min="12546" max="12547" width="21.28515625" style="1" customWidth="1"/>
    <col min="12548" max="12549" width="22.42578125" style="1" bestFit="1" customWidth="1"/>
    <col min="12550" max="12550" width="22.28515625" style="1" bestFit="1" customWidth="1"/>
    <col min="12551" max="12551" width="16.7109375" style="1" customWidth="1"/>
    <col min="12552" max="12552" width="21.42578125" style="1" bestFit="1" customWidth="1"/>
    <col min="12553" max="12553" width="22.28515625" style="1" bestFit="1" customWidth="1"/>
    <col min="12554" max="12793" width="9.140625" style="1"/>
    <col min="12794" max="12794" width="4.28515625" style="1" customWidth="1"/>
    <col min="12795" max="12795" width="9.85546875" style="1" customWidth="1"/>
    <col min="12796" max="12796" width="55.42578125" style="1" bestFit="1" customWidth="1"/>
    <col min="12797" max="12797" width="12.85546875" style="1" customWidth="1"/>
    <col min="12798" max="12798" width="14.85546875" style="1" customWidth="1"/>
    <col min="12799" max="12799" width="14.28515625" style="1" customWidth="1"/>
    <col min="12800" max="12800" width="20.7109375" style="1" customWidth="1"/>
    <col min="12801" max="12801" width="21" style="1" customWidth="1"/>
    <col min="12802" max="12803" width="21.28515625" style="1" customWidth="1"/>
    <col min="12804" max="12805" width="22.42578125" style="1" bestFit="1" customWidth="1"/>
    <col min="12806" max="12806" width="22.28515625" style="1" bestFit="1" customWidth="1"/>
    <col min="12807" max="12807" width="16.7109375" style="1" customWidth="1"/>
    <col min="12808" max="12808" width="21.42578125" style="1" bestFit="1" customWidth="1"/>
    <col min="12809" max="12809" width="22.28515625" style="1" bestFit="1" customWidth="1"/>
    <col min="12810" max="13049" width="9.140625" style="1"/>
    <col min="13050" max="13050" width="4.28515625" style="1" customWidth="1"/>
    <col min="13051" max="13051" width="9.85546875" style="1" customWidth="1"/>
    <col min="13052" max="13052" width="55.42578125" style="1" bestFit="1" customWidth="1"/>
    <col min="13053" max="13053" width="12.85546875" style="1" customWidth="1"/>
    <col min="13054" max="13054" width="14.85546875" style="1" customWidth="1"/>
    <col min="13055" max="13055" width="14.28515625" style="1" customWidth="1"/>
    <col min="13056" max="13056" width="20.7109375" style="1" customWidth="1"/>
    <col min="13057" max="13057" width="21" style="1" customWidth="1"/>
    <col min="13058" max="13059" width="21.28515625" style="1" customWidth="1"/>
    <col min="13060" max="13061" width="22.42578125" style="1" bestFit="1" customWidth="1"/>
    <col min="13062" max="13062" width="22.28515625" style="1" bestFit="1" customWidth="1"/>
    <col min="13063" max="13063" width="16.7109375" style="1" customWidth="1"/>
    <col min="13064" max="13064" width="21.42578125" style="1" bestFit="1" customWidth="1"/>
    <col min="13065" max="13065" width="22.28515625" style="1" bestFit="1" customWidth="1"/>
    <col min="13066" max="13305" width="9.140625" style="1"/>
    <col min="13306" max="13306" width="4.28515625" style="1" customWidth="1"/>
    <col min="13307" max="13307" width="9.85546875" style="1" customWidth="1"/>
    <col min="13308" max="13308" width="55.42578125" style="1" bestFit="1" customWidth="1"/>
    <col min="13309" max="13309" width="12.85546875" style="1" customWidth="1"/>
    <col min="13310" max="13310" width="14.85546875" style="1" customWidth="1"/>
    <col min="13311" max="13311" width="14.28515625" style="1" customWidth="1"/>
    <col min="13312" max="13312" width="20.7109375" style="1" customWidth="1"/>
    <col min="13313" max="13313" width="21" style="1" customWidth="1"/>
    <col min="13314" max="13315" width="21.28515625" style="1" customWidth="1"/>
    <col min="13316" max="13317" width="22.42578125" style="1" bestFit="1" customWidth="1"/>
    <col min="13318" max="13318" width="22.28515625" style="1" bestFit="1" customWidth="1"/>
    <col min="13319" max="13319" width="16.7109375" style="1" customWidth="1"/>
    <col min="13320" max="13320" width="21.42578125" style="1" bestFit="1" customWidth="1"/>
    <col min="13321" max="13321" width="22.28515625" style="1" bestFit="1" customWidth="1"/>
    <col min="13322" max="13561" width="9.140625" style="1"/>
    <col min="13562" max="13562" width="4.28515625" style="1" customWidth="1"/>
    <col min="13563" max="13563" width="9.85546875" style="1" customWidth="1"/>
    <col min="13564" max="13564" width="55.42578125" style="1" bestFit="1" customWidth="1"/>
    <col min="13565" max="13565" width="12.85546875" style="1" customWidth="1"/>
    <col min="13566" max="13566" width="14.85546875" style="1" customWidth="1"/>
    <col min="13567" max="13567" width="14.28515625" style="1" customWidth="1"/>
    <col min="13568" max="13568" width="20.7109375" style="1" customWidth="1"/>
    <col min="13569" max="13569" width="21" style="1" customWidth="1"/>
    <col min="13570" max="13571" width="21.28515625" style="1" customWidth="1"/>
    <col min="13572" max="13573" width="22.42578125" style="1" bestFit="1" customWidth="1"/>
    <col min="13574" max="13574" width="22.28515625" style="1" bestFit="1" customWidth="1"/>
    <col min="13575" max="13575" width="16.7109375" style="1" customWidth="1"/>
    <col min="13576" max="13576" width="21.42578125" style="1" bestFit="1" customWidth="1"/>
    <col min="13577" max="13577" width="22.28515625" style="1" bestFit="1" customWidth="1"/>
    <col min="13578" max="13817" width="9.140625" style="1"/>
    <col min="13818" max="13818" width="4.28515625" style="1" customWidth="1"/>
    <col min="13819" max="13819" width="9.85546875" style="1" customWidth="1"/>
    <col min="13820" max="13820" width="55.42578125" style="1" bestFit="1" customWidth="1"/>
    <col min="13821" max="13821" width="12.85546875" style="1" customWidth="1"/>
    <col min="13822" max="13822" width="14.85546875" style="1" customWidth="1"/>
    <col min="13823" max="13823" width="14.28515625" style="1" customWidth="1"/>
    <col min="13824" max="13824" width="20.7109375" style="1" customWidth="1"/>
    <col min="13825" max="13825" width="21" style="1" customWidth="1"/>
    <col min="13826" max="13827" width="21.28515625" style="1" customWidth="1"/>
    <col min="13828" max="13829" width="22.42578125" style="1" bestFit="1" customWidth="1"/>
    <col min="13830" max="13830" width="22.28515625" style="1" bestFit="1" customWidth="1"/>
    <col min="13831" max="13831" width="16.7109375" style="1" customWidth="1"/>
    <col min="13832" max="13832" width="21.42578125" style="1" bestFit="1" customWidth="1"/>
    <col min="13833" max="13833" width="22.28515625" style="1" bestFit="1" customWidth="1"/>
    <col min="13834" max="14073" width="9.140625" style="1"/>
    <col min="14074" max="14074" width="4.28515625" style="1" customWidth="1"/>
    <col min="14075" max="14075" width="9.85546875" style="1" customWidth="1"/>
    <col min="14076" max="14076" width="55.42578125" style="1" bestFit="1" customWidth="1"/>
    <col min="14077" max="14077" width="12.85546875" style="1" customWidth="1"/>
    <col min="14078" max="14078" width="14.85546875" style="1" customWidth="1"/>
    <col min="14079" max="14079" width="14.28515625" style="1" customWidth="1"/>
    <col min="14080" max="14080" width="20.7109375" style="1" customWidth="1"/>
    <col min="14081" max="14081" width="21" style="1" customWidth="1"/>
    <col min="14082" max="14083" width="21.28515625" style="1" customWidth="1"/>
    <col min="14084" max="14085" width="22.42578125" style="1" bestFit="1" customWidth="1"/>
    <col min="14086" max="14086" width="22.28515625" style="1" bestFit="1" customWidth="1"/>
    <col min="14087" max="14087" width="16.7109375" style="1" customWidth="1"/>
    <col min="14088" max="14088" width="21.42578125" style="1" bestFit="1" customWidth="1"/>
    <col min="14089" max="14089" width="22.28515625" style="1" bestFit="1" customWidth="1"/>
    <col min="14090" max="14329" width="9.140625" style="1"/>
    <col min="14330" max="14330" width="4.28515625" style="1" customWidth="1"/>
    <col min="14331" max="14331" width="9.85546875" style="1" customWidth="1"/>
    <col min="14332" max="14332" width="55.42578125" style="1" bestFit="1" customWidth="1"/>
    <col min="14333" max="14333" width="12.85546875" style="1" customWidth="1"/>
    <col min="14334" max="14334" width="14.85546875" style="1" customWidth="1"/>
    <col min="14335" max="14335" width="14.28515625" style="1" customWidth="1"/>
    <col min="14336" max="14336" width="20.7109375" style="1" customWidth="1"/>
    <col min="14337" max="14337" width="21" style="1" customWidth="1"/>
    <col min="14338" max="14339" width="21.28515625" style="1" customWidth="1"/>
    <col min="14340" max="14341" width="22.42578125" style="1" bestFit="1" customWidth="1"/>
    <col min="14342" max="14342" width="22.28515625" style="1" bestFit="1" customWidth="1"/>
    <col min="14343" max="14343" width="16.7109375" style="1" customWidth="1"/>
    <col min="14344" max="14344" width="21.42578125" style="1" bestFit="1" customWidth="1"/>
    <col min="14345" max="14345" width="22.28515625" style="1" bestFit="1" customWidth="1"/>
    <col min="14346" max="14585" width="9.140625" style="1"/>
    <col min="14586" max="14586" width="4.28515625" style="1" customWidth="1"/>
    <col min="14587" max="14587" width="9.85546875" style="1" customWidth="1"/>
    <col min="14588" max="14588" width="55.42578125" style="1" bestFit="1" customWidth="1"/>
    <col min="14589" max="14589" width="12.85546875" style="1" customWidth="1"/>
    <col min="14590" max="14590" width="14.85546875" style="1" customWidth="1"/>
    <col min="14591" max="14591" width="14.28515625" style="1" customWidth="1"/>
    <col min="14592" max="14592" width="20.7109375" style="1" customWidth="1"/>
    <col min="14593" max="14593" width="21" style="1" customWidth="1"/>
    <col min="14594" max="14595" width="21.28515625" style="1" customWidth="1"/>
    <col min="14596" max="14597" width="22.42578125" style="1" bestFit="1" customWidth="1"/>
    <col min="14598" max="14598" width="22.28515625" style="1" bestFit="1" customWidth="1"/>
    <col min="14599" max="14599" width="16.7109375" style="1" customWidth="1"/>
    <col min="14600" max="14600" width="21.42578125" style="1" bestFit="1" customWidth="1"/>
    <col min="14601" max="14601" width="22.28515625" style="1" bestFit="1" customWidth="1"/>
    <col min="14602" max="14841" width="9.140625" style="1"/>
    <col min="14842" max="14842" width="4.28515625" style="1" customWidth="1"/>
    <col min="14843" max="14843" width="9.85546875" style="1" customWidth="1"/>
    <col min="14844" max="14844" width="55.42578125" style="1" bestFit="1" customWidth="1"/>
    <col min="14845" max="14845" width="12.85546875" style="1" customWidth="1"/>
    <col min="14846" max="14846" width="14.85546875" style="1" customWidth="1"/>
    <col min="14847" max="14847" width="14.28515625" style="1" customWidth="1"/>
    <col min="14848" max="14848" width="20.7109375" style="1" customWidth="1"/>
    <col min="14849" max="14849" width="21" style="1" customWidth="1"/>
    <col min="14850" max="14851" width="21.28515625" style="1" customWidth="1"/>
    <col min="14852" max="14853" width="22.42578125" style="1" bestFit="1" customWidth="1"/>
    <col min="14854" max="14854" width="22.28515625" style="1" bestFit="1" customWidth="1"/>
    <col min="14855" max="14855" width="16.7109375" style="1" customWidth="1"/>
    <col min="14856" max="14856" width="21.42578125" style="1" bestFit="1" customWidth="1"/>
    <col min="14857" max="14857" width="22.28515625" style="1" bestFit="1" customWidth="1"/>
    <col min="14858" max="15097" width="9.140625" style="1"/>
    <col min="15098" max="15098" width="4.28515625" style="1" customWidth="1"/>
    <col min="15099" max="15099" width="9.85546875" style="1" customWidth="1"/>
    <col min="15100" max="15100" width="55.42578125" style="1" bestFit="1" customWidth="1"/>
    <col min="15101" max="15101" width="12.85546875" style="1" customWidth="1"/>
    <col min="15102" max="15102" width="14.85546875" style="1" customWidth="1"/>
    <col min="15103" max="15103" width="14.28515625" style="1" customWidth="1"/>
    <col min="15104" max="15104" width="20.7109375" style="1" customWidth="1"/>
    <col min="15105" max="15105" width="21" style="1" customWidth="1"/>
    <col min="15106" max="15107" width="21.28515625" style="1" customWidth="1"/>
    <col min="15108" max="15109" width="22.42578125" style="1" bestFit="1" customWidth="1"/>
    <col min="15110" max="15110" width="22.28515625" style="1" bestFit="1" customWidth="1"/>
    <col min="15111" max="15111" width="16.7109375" style="1" customWidth="1"/>
    <col min="15112" max="15112" width="21.42578125" style="1" bestFit="1" customWidth="1"/>
    <col min="15113" max="15113" width="22.28515625" style="1" bestFit="1" customWidth="1"/>
    <col min="15114" max="15353" width="9.140625" style="1"/>
    <col min="15354" max="15354" width="4.28515625" style="1" customWidth="1"/>
    <col min="15355" max="15355" width="9.85546875" style="1" customWidth="1"/>
    <col min="15356" max="15356" width="55.42578125" style="1" bestFit="1" customWidth="1"/>
    <col min="15357" max="15357" width="12.85546875" style="1" customWidth="1"/>
    <col min="15358" max="15358" width="14.85546875" style="1" customWidth="1"/>
    <col min="15359" max="15359" width="14.28515625" style="1" customWidth="1"/>
    <col min="15360" max="15360" width="20.7109375" style="1" customWidth="1"/>
    <col min="15361" max="15361" width="21" style="1" customWidth="1"/>
    <col min="15362" max="15363" width="21.28515625" style="1" customWidth="1"/>
    <col min="15364" max="15365" width="22.42578125" style="1" bestFit="1" customWidth="1"/>
    <col min="15366" max="15366" width="22.28515625" style="1" bestFit="1" customWidth="1"/>
    <col min="15367" max="15367" width="16.7109375" style="1" customWidth="1"/>
    <col min="15368" max="15368" width="21.42578125" style="1" bestFit="1" customWidth="1"/>
    <col min="15369" max="15369" width="22.28515625" style="1" bestFit="1" customWidth="1"/>
    <col min="15370" max="15609" width="9.140625" style="1"/>
    <col min="15610" max="15610" width="4.28515625" style="1" customWidth="1"/>
    <col min="15611" max="15611" width="9.85546875" style="1" customWidth="1"/>
    <col min="15612" max="15612" width="55.42578125" style="1" bestFit="1" customWidth="1"/>
    <col min="15613" max="15613" width="12.85546875" style="1" customWidth="1"/>
    <col min="15614" max="15614" width="14.85546875" style="1" customWidth="1"/>
    <col min="15615" max="15615" width="14.28515625" style="1" customWidth="1"/>
    <col min="15616" max="15616" width="20.7109375" style="1" customWidth="1"/>
    <col min="15617" max="15617" width="21" style="1" customWidth="1"/>
    <col min="15618" max="15619" width="21.28515625" style="1" customWidth="1"/>
    <col min="15620" max="15621" width="22.42578125" style="1" bestFit="1" customWidth="1"/>
    <col min="15622" max="15622" width="22.28515625" style="1" bestFit="1" customWidth="1"/>
    <col min="15623" max="15623" width="16.7109375" style="1" customWidth="1"/>
    <col min="15624" max="15624" width="21.42578125" style="1" bestFit="1" customWidth="1"/>
    <col min="15625" max="15625" width="22.28515625" style="1" bestFit="1" customWidth="1"/>
    <col min="15626" max="15865" width="9.140625" style="1"/>
    <col min="15866" max="15866" width="4.28515625" style="1" customWidth="1"/>
    <col min="15867" max="15867" width="9.85546875" style="1" customWidth="1"/>
    <col min="15868" max="15868" width="55.42578125" style="1" bestFit="1" customWidth="1"/>
    <col min="15869" max="15869" width="12.85546875" style="1" customWidth="1"/>
    <col min="15870" max="15870" width="14.85546875" style="1" customWidth="1"/>
    <col min="15871" max="15871" width="14.28515625" style="1" customWidth="1"/>
    <col min="15872" max="15872" width="20.7109375" style="1" customWidth="1"/>
    <col min="15873" max="15873" width="21" style="1" customWidth="1"/>
    <col min="15874" max="15875" width="21.28515625" style="1" customWidth="1"/>
    <col min="15876" max="15877" width="22.42578125" style="1" bestFit="1" customWidth="1"/>
    <col min="15878" max="15878" width="22.28515625" style="1" bestFit="1" customWidth="1"/>
    <col min="15879" max="15879" width="16.7109375" style="1" customWidth="1"/>
    <col min="15880" max="15880" width="21.42578125" style="1" bestFit="1" customWidth="1"/>
    <col min="15881" max="15881" width="22.28515625" style="1" bestFit="1" customWidth="1"/>
    <col min="15882" max="16121" width="9.140625" style="1"/>
    <col min="16122" max="16122" width="4.28515625" style="1" customWidth="1"/>
    <col min="16123" max="16123" width="9.85546875" style="1" customWidth="1"/>
    <col min="16124" max="16124" width="55.42578125" style="1" bestFit="1" customWidth="1"/>
    <col min="16125" max="16125" width="12.85546875" style="1" customWidth="1"/>
    <col min="16126" max="16126" width="14.85546875" style="1" customWidth="1"/>
    <col min="16127" max="16127" width="14.28515625" style="1" customWidth="1"/>
    <col min="16128" max="16128" width="20.7109375" style="1" customWidth="1"/>
    <col min="16129" max="16129" width="21" style="1" customWidth="1"/>
    <col min="16130" max="16131" width="21.28515625" style="1" customWidth="1"/>
    <col min="16132" max="16133" width="22.42578125" style="1" bestFit="1" customWidth="1"/>
    <col min="16134" max="16134" width="22.28515625" style="1" bestFit="1" customWidth="1"/>
    <col min="16135" max="16135" width="16.7109375" style="1" customWidth="1"/>
    <col min="16136" max="16136" width="21.42578125" style="1" bestFit="1" customWidth="1"/>
    <col min="16137" max="16137" width="22.28515625" style="1" bestFit="1" customWidth="1"/>
    <col min="16138" max="16384" width="9.140625" style="1"/>
  </cols>
  <sheetData>
    <row r="6" spans="1:15" ht="13.9" customHeight="1" x14ac:dyDescent="0.25"/>
    <row r="7" spans="1:15" x14ac:dyDescent="0.25">
      <c r="J7" s="4"/>
      <c r="K7" s="5"/>
    </row>
    <row r="8" spans="1:15" ht="15" customHeight="1" x14ac:dyDescent="0.25">
      <c r="B8" s="6"/>
      <c r="C8" s="7"/>
      <c r="D8" s="50" t="s">
        <v>0</v>
      </c>
      <c r="E8" s="50"/>
      <c r="F8" s="50"/>
      <c r="G8" s="50"/>
      <c r="H8" s="50"/>
      <c r="I8" s="50"/>
      <c r="J8" s="7"/>
      <c r="K8" s="7"/>
      <c r="L8" s="7"/>
    </row>
    <row r="9" spans="1:15" ht="15" customHeight="1" thickBot="1" x14ac:dyDescent="0.3">
      <c r="K9" s="8"/>
      <c r="L9" s="8"/>
    </row>
    <row r="10" spans="1:15" ht="14.45" customHeight="1" x14ac:dyDescent="0.25">
      <c r="A10" s="51" t="s">
        <v>1</v>
      </c>
      <c r="B10" s="54" t="s">
        <v>2</v>
      </c>
      <c r="C10" s="54" t="s">
        <v>3</v>
      </c>
      <c r="D10" s="57" t="s">
        <v>4</v>
      </c>
      <c r="E10" s="58"/>
      <c r="F10" s="59"/>
      <c r="G10" s="64" t="s">
        <v>122</v>
      </c>
      <c r="H10" s="64"/>
      <c r="I10" s="64"/>
      <c r="J10" s="64"/>
      <c r="K10" s="38" t="s">
        <v>5</v>
      </c>
      <c r="L10" s="39"/>
      <c r="N10" s="38" t="s">
        <v>5</v>
      </c>
      <c r="O10" s="39"/>
    </row>
    <row r="11" spans="1:15" s="6" customFormat="1" ht="15.75" customHeight="1" x14ac:dyDescent="0.25">
      <c r="A11" s="52"/>
      <c r="B11" s="55"/>
      <c r="C11" s="55"/>
      <c r="D11" s="60"/>
      <c r="E11" s="61"/>
      <c r="F11" s="62"/>
      <c r="G11" s="64"/>
      <c r="H11" s="64"/>
      <c r="I11" s="64"/>
      <c r="J11" s="64"/>
      <c r="K11" s="40"/>
      <c r="L11" s="41"/>
      <c r="N11" s="40"/>
      <c r="O11" s="41"/>
    </row>
    <row r="12" spans="1:15" s="6" customFormat="1" ht="33.75" customHeight="1" x14ac:dyDescent="0.25">
      <c r="A12" s="52"/>
      <c r="B12" s="55"/>
      <c r="C12" s="55"/>
      <c r="D12" s="63"/>
      <c r="E12" s="35"/>
      <c r="F12" s="36"/>
      <c r="G12" s="10" t="s">
        <v>6</v>
      </c>
      <c r="H12" s="42" t="s">
        <v>7</v>
      </c>
      <c r="I12" s="43"/>
      <c r="J12" s="44" t="s">
        <v>8</v>
      </c>
      <c r="K12" s="46" t="s">
        <v>9</v>
      </c>
      <c r="L12" s="48" t="s">
        <v>10</v>
      </c>
      <c r="N12" s="46" t="s">
        <v>9</v>
      </c>
      <c r="O12" s="48" t="s">
        <v>10</v>
      </c>
    </row>
    <row r="13" spans="1:15" s="6" customFormat="1" ht="47.25" x14ac:dyDescent="0.25">
      <c r="A13" s="53"/>
      <c r="B13" s="56"/>
      <c r="C13" s="56"/>
      <c r="D13" s="11" t="s">
        <v>11</v>
      </c>
      <c r="E13" s="11" t="s">
        <v>12</v>
      </c>
      <c r="F13" s="11" t="s">
        <v>13</v>
      </c>
      <c r="G13" s="9" t="s">
        <v>14</v>
      </c>
      <c r="H13" s="9" t="s">
        <v>15</v>
      </c>
      <c r="I13" s="9" t="s">
        <v>16</v>
      </c>
      <c r="J13" s="45"/>
      <c r="K13" s="47"/>
      <c r="L13" s="49"/>
      <c r="N13" s="47"/>
      <c r="O13" s="49"/>
    </row>
    <row r="14" spans="1:15" x14ac:dyDescent="0.25">
      <c r="A14" s="12">
        <v>1</v>
      </c>
      <c r="B14" s="13" t="s">
        <v>17</v>
      </c>
      <c r="C14" s="14" t="s">
        <v>18</v>
      </c>
      <c r="D14" s="15" t="s">
        <v>19</v>
      </c>
      <c r="E14" s="15" t="s">
        <v>19</v>
      </c>
      <c r="F14" s="15" t="s">
        <v>19</v>
      </c>
      <c r="G14" s="16">
        <f>VLOOKUP(B14,'[1]MC-1.7'!$B$8:$U$59,18,0)</f>
        <v>4314444473.3500004</v>
      </c>
      <c r="H14" s="16">
        <f>VLOOKUP($B14,'[1]MC-1.7'!$B$8:$U$59,8,0)</f>
        <v>4561586995.3999996</v>
      </c>
      <c r="I14" s="16">
        <f>VLOOKUP($B14,'[1]MC-1.7'!$B$8:$U$59,13,0)</f>
        <v>825401020</v>
      </c>
      <c r="J14" s="16">
        <f t="shared" ref="J14:J45" si="0">SUM(G14:I14)</f>
        <v>9701432488.75</v>
      </c>
      <c r="K14" s="17">
        <f t="shared" ref="K14:K45" si="1">J14+N14</f>
        <v>419133512295.39008</v>
      </c>
      <c r="L14" s="18">
        <f t="shared" ref="L14:L45" si="2">K14/$K$65</f>
        <v>0.25152729233124937</v>
      </c>
      <c r="M14" s="19"/>
      <c r="N14" s="17">
        <f>+VLOOKUP(B14,'[2]6 сар'!$B$14:$K$64,10,0)</f>
        <v>409432079806.64008</v>
      </c>
      <c r="O14" s="18">
        <v>0.26760449605631059</v>
      </c>
    </row>
    <row r="15" spans="1:15" x14ac:dyDescent="0.25">
      <c r="A15" s="12">
        <f>A14+1</f>
        <v>2</v>
      </c>
      <c r="B15" s="13" t="s">
        <v>22</v>
      </c>
      <c r="C15" s="14" t="s">
        <v>23</v>
      </c>
      <c r="D15" s="15" t="s">
        <v>19</v>
      </c>
      <c r="E15" s="15" t="s">
        <v>19</v>
      </c>
      <c r="F15" s="15" t="s">
        <v>19</v>
      </c>
      <c r="G15" s="16">
        <f>VLOOKUP(B15,'[1]MC-1.7'!$B$8:$U$59,18,0)</f>
        <v>1945846305.55</v>
      </c>
      <c r="H15" s="16">
        <f>VLOOKUP($B15,'[1]MC-1.7'!$B$8:$U$59,8,0)</f>
        <v>2879190632.7199998</v>
      </c>
      <c r="I15" s="16">
        <f>VLOOKUP($B15,'[1]MC-1.7'!$B$8:$U$59,13,0)</f>
        <v>2561650282</v>
      </c>
      <c r="J15" s="16">
        <f t="shared" si="0"/>
        <v>7386687220.2699995</v>
      </c>
      <c r="K15" s="17">
        <f t="shared" si="1"/>
        <v>288886586364.76001</v>
      </c>
      <c r="L15" s="18">
        <f t="shared" si="2"/>
        <v>0.17336447391478341</v>
      </c>
      <c r="M15" s="19"/>
      <c r="N15" s="17">
        <f>+VLOOKUP(B15,'[2]6 сар'!$B$14:$K$64,10,0)</f>
        <v>281499899144.48999</v>
      </c>
      <c r="O15" s="18">
        <v>0.15957893747347757</v>
      </c>
    </row>
    <row r="16" spans="1:15" x14ac:dyDescent="0.25">
      <c r="A16" s="12">
        <f t="shared" ref="A16:A64" si="3">+A15+1</f>
        <v>3</v>
      </c>
      <c r="B16" s="13" t="s">
        <v>30</v>
      </c>
      <c r="C16" s="14" t="s">
        <v>31</v>
      </c>
      <c r="D16" s="15" t="s">
        <v>19</v>
      </c>
      <c r="E16" s="15" t="s">
        <v>19</v>
      </c>
      <c r="F16" s="15" t="s">
        <v>19</v>
      </c>
      <c r="G16" s="16">
        <f>VLOOKUP(B16,'[1]MC-1.7'!$B$8:$U$59,18,0)</f>
        <v>6089896875</v>
      </c>
      <c r="H16" s="16">
        <f>VLOOKUP($B16,'[1]MC-1.7'!$B$8:$U$59,8,0)</f>
        <v>1166076006.96</v>
      </c>
      <c r="I16" s="16">
        <f>VLOOKUP($B16,'[1]MC-1.7'!$B$8:$U$59,13,0)</f>
        <v>400000</v>
      </c>
      <c r="J16" s="16">
        <f t="shared" si="0"/>
        <v>7256372881.96</v>
      </c>
      <c r="K16" s="17">
        <f t="shared" si="1"/>
        <v>222513622309.47998</v>
      </c>
      <c r="L16" s="18">
        <f t="shared" si="2"/>
        <v>0.13353322338700846</v>
      </c>
      <c r="M16" s="19"/>
      <c r="N16" s="17">
        <f>+VLOOKUP(B16,'[2]6 сар'!$B$14:$K$64,10,0)</f>
        <v>215257249427.51999</v>
      </c>
      <c r="O16" s="18">
        <v>0.1492524602746455</v>
      </c>
    </row>
    <row r="17" spans="1:15" x14ac:dyDescent="0.25">
      <c r="A17" s="12">
        <f t="shared" si="3"/>
        <v>4</v>
      </c>
      <c r="B17" s="13" t="s">
        <v>20</v>
      </c>
      <c r="C17" s="14" t="s">
        <v>21</v>
      </c>
      <c r="D17" s="15" t="s">
        <v>19</v>
      </c>
      <c r="E17" s="15" t="s">
        <v>19</v>
      </c>
      <c r="F17" s="20"/>
      <c r="G17" s="16">
        <f>VLOOKUP(B17,'[1]MC-1.7'!$B$8:$U$59,18,0)</f>
        <v>0</v>
      </c>
      <c r="H17" s="16">
        <f>VLOOKUP($B17,'[1]MC-1.7'!$B$8:$U$59,8,0)</f>
        <v>33377333.579999998</v>
      </c>
      <c r="I17" s="16">
        <f>VLOOKUP($B17,'[1]MC-1.7'!$B$8:$U$59,13,0)</f>
        <v>0</v>
      </c>
      <c r="J17" s="16">
        <f t="shared" si="0"/>
        <v>33377333.579999998</v>
      </c>
      <c r="K17" s="17">
        <f t="shared" si="1"/>
        <v>200309190883.94998</v>
      </c>
      <c r="L17" s="18">
        <f t="shared" si="2"/>
        <v>0.12020806481490567</v>
      </c>
      <c r="M17" s="19"/>
      <c r="N17" s="17">
        <f>+VLOOKUP(B17,'[2]6 сар'!$B$14:$K$64,10,0)</f>
        <v>200275813550.37</v>
      </c>
      <c r="O17" s="18">
        <v>0.14676891036474468</v>
      </c>
    </row>
    <row r="18" spans="1:15" x14ac:dyDescent="0.25">
      <c r="A18" s="12">
        <f t="shared" si="3"/>
        <v>5</v>
      </c>
      <c r="B18" s="13" t="s">
        <v>24</v>
      </c>
      <c r="C18" s="14" t="s">
        <v>25</v>
      </c>
      <c r="D18" s="15" t="s">
        <v>19</v>
      </c>
      <c r="E18" s="15" t="s">
        <v>19</v>
      </c>
      <c r="F18" s="15" t="s">
        <v>19</v>
      </c>
      <c r="G18" s="16">
        <f>VLOOKUP(B18,'[1]MC-1.7'!$B$8:$U$59,18,0)</f>
        <v>0</v>
      </c>
      <c r="H18" s="16">
        <f>VLOOKUP($B18,'[1]MC-1.7'!$B$8:$U$59,8,0)</f>
        <v>2704292480.6900001</v>
      </c>
      <c r="I18" s="16">
        <f>VLOOKUP($B18,'[1]MC-1.7'!$B$8:$U$59,13,0)</f>
        <v>1565569740</v>
      </c>
      <c r="J18" s="16">
        <f t="shared" si="0"/>
        <v>4269862220.6900001</v>
      </c>
      <c r="K18" s="17">
        <f t="shared" si="1"/>
        <v>149632583608.72</v>
      </c>
      <c r="L18" s="18">
        <f t="shared" si="2"/>
        <v>8.9796395409932436E-2</v>
      </c>
      <c r="M18" s="19"/>
      <c r="N18" s="17">
        <f>+VLOOKUP(B18,'[2]6 сар'!$B$14:$K$64,10,0)</f>
        <v>145362721388.03</v>
      </c>
      <c r="O18" s="18">
        <v>0.10399368250569953</v>
      </c>
    </row>
    <row r="19" spans="1:15" x14ac:dyDescent="0.25">
      <c r="A19" s="12">
        <f t="shared" si="3"/>
        <v>6</v>
      </c>
      <c r="B19" s="13" t="s">
        <v>26</v>
      </c>
      <c r="C19" s="14" t="s">
        <v>27</v>
      </c>
      <c r="D19" s="15" t="s">
        <v>19</v>
      </c>
      <c r="E19" s="15" t="s">
        <v>19</v>
      </c>
      <c r="F19" s="15" t="s">
        <v>19</v>
      </c>
      <c r="G19" s="16">
        <f>VLOOKUP(B19,'[1]MC-1.7'!$B$8:$U$59,18,0)</f>
        <v>0</v>
      </c>
      <c r="H19" s="16">
        <f>VLOOKUP($B19,'[1]MC-1.7'!$B$8:$U$59,8,0)</f>
        <v>31547502102.380001</v>
      </c>
      <c r="I19" s="16">
        <f>VLOOKUP($B19,'[1]MC-1.7'!$B$8:$U$59,13,0)</f>
        <v>59874380</v>
      </c>
      <c r="J19" s="16">
        <f t="shared" si="0"/>
        <v>31607376482.380001</v>
      </c>
      <c r="K19" s="17">
        <f t="shared" si="1"/>
        <v>120534637564.78</v>
      </c>
      <c r="L19" s="18">
        <f t="shared" si="2"/>
        <v>7.2334352012947037E-2</v>
      </c>
      <c r="M19" s="19"/>
      <c r="N19" s="17">
        <f>+VLOOKUP(B19,'[2]6 сар'!$B$14:$K$64,10,0)</f>
        <v>88927261082.399994</v>
      </c>
      <c r="O19" s="18">
        <v>4.7838495263921053E-2</v>
      </c>
    </row>
    <row r="20" spans="1:15" x14ac:dyDescent="0.25">
      <c r="A20" s="12">
        <f t="shared" si="3"/>
        <v>7</v>
      </c>
      <c r="B20" s="13" t="s">
        <v>28</v>
      </c>
      <c r="C20" s="14" t="s">
        <v>29</v>
      </c>
      <c r="D20" s="15" t="s">
        <v>19</v>
      </c>
      <c r="E20" s="15" t="s">
        <v>19</v>
      </c>
      <c r="F20" s="15" t="s">
        <v>19</v>
      </c>
      <c r="G20" s="16">
        <f>VLOOKUP(B20,'[1]MC-1.7'!$B$8:$U$59,18,0)</f>
        <v>4521966313.75</v>
      </c>
      <c r="H20" s="16">
        <f>VLOOKUP($B20,'[1]MC-1.7'!$B$8:$U$59,8,0)</f>
        <v>4476105104.8699999</v>
      </c>
      <c r="I20" s="16">
        <f>VLOOKUP($B20,'[1]MC-1.7'!$B$8:$U$59,13,0)</f>
        <v>0</v>
      </c>
      <c r="J20" s="16">
        <f t="shared" si="0"/>
        <v>8998071418.6199989</v>
      </c>
      <c r="K20" s="17">
        <f t="shared" si="1"/>
        <v>84296419713.799988</v>
      </c>
      <c r="L20" s="18">
        <f t="shared" si="2"/>
        <v>5.0587341698622425E-2</v>
      </c>
      <c r="M20" s="19"/>
      <c r="N20" s="17">
        <f>+VLOOKUP(B20,'[2]6 сар'!$B$14:$K$64,10,0)</f>
        <v>75298348295.179993</v>
      </c>
      <c r="O20" s="18">
        <v>3.9914126289504206E-2</v>
      </c>
    </row>
    <row r="21" spans="1:15" x14ac:dyDescent="0.25">
      <c r="A21" s="12">
        <f t="shared" si="3"/>
        <v>8</v>
      </c>
      <c r="B21" s="13" t="s">
        <v>36</v>
      </c>
      <c r="C21" s="14" t="s">
        <v>37</v>
      </c>
      <c r="D21" s="15" t="s">
        <v>19</v>
      </c>
      <c r="E21" s="15" t="s">
        <v>19</v>
      </c>
      <c r="F21" s="20"/>
      <c r="G21" s="16">
        <f>VLOOKUP(B21,'[1]MC-1.7'!$B$8:$U$59,18,0)</f>
        <v>0</v>
      </c>
      <c r="H21" s="16">
        <f>VLOOKUP($B21,'[1]MC-1.7'!$B$8:$U$59,8,0)</f>
        <v>193184280</v>
      </c>
      <c r="I21" s="16">
        <f>VLOOKUP($B21,'[1]MC-1.7'!$B$8:$U$59,13,0)</f>
        <v>0</v>
      </c>
      <c r="J21" s="16">
        <f t="shared" si="0"/>
        <v>193184280</v>
      </c>
      <c r="K21" s="17">
        <f t="shared" si="1"/>
        <v>25599666113.459999</v>
      </c>
      <c r="L21" s="18">
        <f t="shared" si="2"/>
        <v>1.5362681611497215E-2</v>
      </c>
      <c r="M21" s="19"/>
      <c r="N21" s="17">
        <f>+VLOOKUP(B21,'[2]6 сар'!$B$14:$K$64,10,0)</f>
        <v>25406481833.459999</v>
      </c>
      <c r="O21" s="18">
        <v>1.8459308800951688E-2</v>
      </c>
    </row>
    <row r="22" spans="1:15" s="6" customFormat="1" x14ac:dyDescent="0.25">
      <c r="A22" s="12">
        <f t="shared" si="3"/>
        <v>9</v>
      </c>
      <c r="B22" s="13" t="s">
        <v>32</v>
      </c>
      <c r="C22" s="14" t="s">
        <v>33</v>
      </c>
      <c r="D22" s="15" t="s">
        <v>19</v>
      </c>
      <c r="E22" s="15" t="s">
        <v>19</v>
      </c>
      <c r="F22" s="15" t="s">
        <v>19</v>
      </c>
      <c r="G22" s="16">
        <f>VLOOKUP(B22,'[1]MC-1.7'!$B$8:$U$59,18,0)</f>
        <v>2387806.75</v>
      </c>
      <c r="H22" s="16">
        <f>VLOOKUP($B22,'[1]MC-1.7'!$B$8:$U$59,8,0)</f>
        <v>688328388.62</v>
      </c>
      <c r="I22" s="16">
        <f>VLOOKUP($B22,'[1]MC-1.7'!$B$8:$U$59,13,0)</f>
        <v>0</v>
      </c>
      <c r="J22" s="16">
        <f t="shared" si="0"/>
        <v>690716195.37</v>
      </c>
      <c r="K22" s="17">
        <f t="shared" si="1"/>
        <v>21619004762.369995</v>
      </c>
      <c r="L22" s="18">
        <f t="shared" si="2"/>
        <v>1.2973836668405E-2</v>
      </c>
      <c r="M22" s="19"/>
      <c r="N22" s="17">
        <f>+VLOOKUP(B22,'[2]6 сар'!$B$14:$K$64,10,0)</f>
        <v>20928288566.999996</v>
      </c>
      <c r="O22" s="18">
        <v>1.5061972313024655E-2</v>
      </c>
    </row>
    <row r="23" spans="1:15" x14ac:dyDescent="0.25">
      <c r="A23" s="12">
        <f t="shared" si="3"/>
        <v>10</v>
      </c>
      <c r="B23" s="13" t="s">
        <v>34</v>
      </c>
      <c r="C23" s="14" t="s">
        <v>35</v>
      </c>
      <c r="D23" s="15" t="s">
        <v>19</v>
      </c>
      <c r="E23" s="15" t="s">
        <v>19</v>
      </c>
      <c r="F23" s="15" t="s">
        <v>19</v>
      </c>
      <c r="G23" s="16">
        <f>VLOOKUP(B23,'[1]MC-1.7'!$B$8:$U$59,18,0)</f>
        <v>0</v>
      </c>
      <c r="H23" s="16">
        <f>VLOOKUP($B23,'[1]MC-1.7'!$B$8:$U$59,8,0)</f>
        <v>3199430126.3099999</v>
      </c>
      <c r="I23" s="16">
        <f>VLOOKUP($B23,'[1]MC-1.7'!$B$8:$U$59,13,0)</f>
        <v>44000000</v>
      </c>
      <c r="J23" s="16">
        <f t="shared" si="0"/>
        <v>3243430126.3099999</v>
      </c>
      <c r="K23" s="17">
        <f t="shared" si="1"/>
        <v>24348507167.810001</v>
      </c>
      <c r="L23" s="18">
        <f t="shared" si="2"/>
        <v>1.4611845391907179E-2</v>
      </c>
      <c r="M23" s="19"/>
      <c r="N23" s="17">
        <f>+VLOOKUP(B23,'[2]6 сар'!$B$14:$K$64,10,0)</f>
        <v>21105077041.5</v>
      </c>
      <c r="O23" s="18">
        <v>1.0457298817257861E-2</v>
      </c>
    </row>
    <row r="24" spans="1:15" x14ac:dyDescent="0.25">
      <c r="A24" s="12">
        <f t="shared" si="3"/>
        <v>11</v>
      </c>
      <c r="B24" s="13" t="s">
        <v>44</v>
      </c>
      <c r="C24" s="14" t="s">
        <v>45</v>
      </c>
      <c r="D24" s="15" t="s">
        <v>19</v>
      </c>
      <c r="E24" s="15" t="s">
        <v>19</v>
      </c>
      <c r="F24" s="20"/>
      <c r="G24" s="16">
        <f>VLOOKUP(B24,'[1]MC-1.7'!$B$8:$U$59,18,0)</f>
        <v>0</v>
      </c>
      <c r="H24" s="16">
        <f>VLOOKUP($B24,'[1]MC-1.7'!$B$8:$U$59,8,0)</f>
        <v>11417897225.01</v>
      </c>
      <c r="I24" s="16">
        <f>VLOOKUP($B24,'[1]MC-1.7'!$B$8:$U$59,13,0)</f>
        <v>750000</v>
      </c>
      <c r="J24" s="16">
        <f t="shared" si="0"/>
        <v>11418647225.01</v>
      </c>
      <c r="K24" s="17">
        <f t="shared" si="1"/>
        <v>38891404839.440002</v>
      </c>
      <c r="L24" s="18">
        <f t="shared" si="2"/>
        <v>2.333922119624884E-2</v>
      </c>
      <c r="M24" s="19"/>
      <c r="N24" s="17">
        <f>+VLOOKUP(B24,'[2]6 сар'!$B$14:$K$64,10,0)</f>
        <v>27472757614.43</v>
      </c>
      <c r="O24" s="18">
        <v>8.5344218988133557E-3</v>
      </c>
    </row>
    <row r="25" spans="1:15" x14ac:dyDescent="0.25">
      <c r="A25" s="12">
        <f t="shared" si="3"/>
        <v>12</v>
      </c>
      <c r="B25" s="13" t="s">
        <v>38</v>
      </c>
      <c r="C25" s="14" t="s">
        <v>39</v>
      </c>
      <c r="D25" s="15" t="s">
        <v>19</v>
      </c>
      <c r="E25" s="15" t="s">
        <v>19</v>
      </c>
      <c r="F25" s="15" t="s">
        <v>19</v>
      </c>
      <c r="G25" s="16">
        <f>VLOOKUP(B25,'[1]MC-1.7'!$B$8:$U$59,18,0)</f>
        <v>0</v>
      </c>
      <c r="H25" s="16">
        <f>VLOOKUP($B25,'[1]MC-1.7'!$B$8:$U$59,8,0)</f>
        <v>2207150154.4099998</v>
      </c>
      <c r="I25" s="16">
        <f>VLOOKUP($B25,'[1]MC-1.7'!$B$8:$U$59,13,0)</f>
        <v>74792020</v>
      </c>
      <c r="J25" s="16">
        <f t="shared" si="0"/>
        <v>2281942174.4099998</v>
      </c>
      <c r="K25" s="17">
        <f t="shared" si="1"/>
        <v>16242279704.92</v>
      </c>
      <c r="L25" s="18">
        <f t="shared" si="2"/>
        <v>9.7471963362979822E-3</v>
      </c>
      <c r="M25" s="19"/>
      <c r="N25" s="17">
        <f>+VLOOKUP(B25,'[2]6 сар'!$B$14:$K$64,10,0)</f>
        <v>13960337530.51</v>
      </c>
      <c r="O25" s="18">
        <v>8.3156996930965291E-3</v>
      </c>
    </row>
    <row r="26" spans="1:15" x14ac:dyDescent="0.25">
      <c r="A26" s="12">
        <f t="shared" si="3"/>
        <v>13</v>
      </c>
      <c r="B26" s="13" t="s">
        <v>40</v>
      </c>
      <c r="C26" s="14" t="s">
        <v>41</v>
      </c>
      <c r="D26" s="15" t="s">
        <v>19</v>
      </c>
      <c r="E26" s="15" t="s">
        <v>19</v>
      </c>
      <c r="F26" s="20" t="s">
        <v>19</v>
      </c>
      <c r="G26" s="16">
        <f>VLOOKUP(B26,'[1]MC-1.7'!$B$8:$U$59,18,0)</f>
        <v>2465278875</v>
      </c>
      <c r="H26" s="16">
        <f>VLOOKUP($B26,'[1]MC-1.7'!$B$8:$U$59,8,0)</f>
        <v>289472630.17000002</v>
      </c>
      <c r="I26" s="16">
        <f>VLOOKUP($B26,'[1]MC-1.7'!$B$8:$U$59,13,0)</f>
        <v>0</v>
      </c>
      <c r="J26" s="16">
        <f t="shared" si="0"/>
        <v>2754751505.1700001</v>
      </c>
      <c r="K26" s="17">
        <f t="shared" si="1"/>
        <v>10312688516.299999</v>
      </c>
      <c r="L26" s="18">
        <f t="shared" si="2"/>
        <v>6.1887740852666672E-3</v>
      </c>
      <c r="M26" s="19"/>
      <c r="N26" s="17">
        <f>+VLOOKUP(B26,'[2]6 сар'!$B$14:$K$64,10,0)</f>
        <v>7557937011.1299992</v>
      </c>
      <c r="O26" s="18">
        <v>4.7378489834077435E-3</v>
      </c>
    </row>
    <row r="27" spans="1:15" x14ac:dyDescent="0.25">
      <c r="A27" s="12">
        <f t="shared" si="3"/>
        <v>14</v>
      </c>
      <c r="B27" s="13" t="s">
        <v>42</v>
      </c>
      <c r="C27" s="14" t="s">
        <v>43</v>
      </c>
      <c r="D27" s="15" t="s">
        <v>19</v>
      </c>
      <c r="E27" s="15" t="s">
        <v>19</v>
      </c>
      <c r="F27" s="15" t="s">
        <v>19</v>
      </c>
      <c r="G27" s="16">
        <f>VLOOKUP(B27,'[1]MC-1.7'!$B$8:$U$59,18,0)</f>
        <v>0</v>
      </c>
      <c r="H27" s="16">
        <f>VLOOKUP($B27,'[1]MC-1.7'!$B$8:$U$59,8,0)</f>
        <v>37194902.230000004</v>
      </c>
      <c r="I27" s="16">
        <f>VLOOKUP($B27,'[1]MC-1.7'!$B$8:$U$59,13,0)</f>
        <v>905250000</v>
      </c>
      <c r="J27" s="16">
        <f t="shared" si="0"/>
        <v>942444902.23000002</v>
      </c>
      <c r="K27" s="17">
        <f t="shared" si="1"/>
        <v>14760610165.74</v>
      </c>
      <c r="L27" s="18">
        <f t="shared" si="2"/>
        <v>8.8580278103105297E-3</v>
      </c>
      <c r="M27" s="19"/>
      <c r="N27" s="17">
        <f>+VLOOKUP(B27,'[2]6 сар'!$B$14:$K$64,10,0)</f>
        <v>13818165263.51</v>
      </c>
      <c r="O27" s="18">
        <v>4.4708568440981946E-3</v>
      </c>
    </row>
    <row r="28" spans="1:15" x14ac:dyDescent="0.25">
      <c r="A28" s="12">
        <f t="shared" si="3"/>
        <v>15</v>
      </c>
      <c r="B28" s="13" t="s">
        <v>46</v>
      </c>
      <c r="C28" s="14" t="s">
        <v>47</v>
      </c>
      <c r="D28" s="15" t="s">
        <v>19</v>
      </c>
      <c r="E28" s="15" t="s">
        <v>19</v>
      </c>
      <c r="F28" s="15" t="s">
        <v>19</v>
      </c>
      <c r="G28" s="16">
        <f>VLOOKUP(B28,'[1]MC-1.7'!$B$8:$U$59,18,0)</f>
        <v>0</v>
      </c>
      <c r="H28" s="16">
        <f>VLOOKUP($B28,'[1]MC-1.7'!$B$8:$U$59,8,0)</f>
        <v>778642712.95000005</v>
      </c>
      <c r="I28" s="16">
        <f>VLOOKUP($B28,'[1]MC-1.7'!$B$8:$U$59,13,0)</f>
        <v>500500</v>
      </c>
      <c r="J28" s="16">
        <f t="shared" si="0"/>
        <v>779143212.95000005</v>
      </c>
      <c r="K28" s="17">
        <f t="shared" si="1"/>
        <v>6087824617.5199995</v>
      </c>
      <c r="L28" s="18">
        <f t="shared" si="2"/>
        <v>3.6533801218766706E-3</v>
      </c>
      <c r="M28" s="19"/>
      <c r="N28" s="17">
        <f>+VLOOKUP(B28,'[2]6 сар'!$B$14:$K$64,10,0)</f>
        <v>5308681404.5699997</v>
      </c>
      <c r="O28" s="18">
        <v>2.5746478924240949E-3</v>
      </c>
    </row>
    <row r="29" spans="1:15" x14ac:dyDescent="0.25">
      <c r="A29" s="12">
        <f t="shared" si="3"/>
        <v>16</v>
      </c>
      <c r="B29" s="13" t="s">
        <v>48</v>
      </c>
      <c r="C29" s="14" t="s">
        <v>49</v>
      </c>
      <c r="D29" s="15" t="s">
        <v>19</v>
      </c>
      <c r="E29" s="15"/>
      <c r="F29" s="20"/>
      <c r="G29" s="16">
        <f>VLOOKUP(B29,'[1]MC-1.7'!$B$8:$U$59,18,0)</f>
        <v>0</v>
      </c>
      <c r="H29" s="16">
        <f>VLOOKUP($B29,'[1]MC-1.7'!$B$8:$U$59,8,0)</f>
        <v>316493311.31999999</v>
      </c>
      <c r="I29" s="16">
        <f>VLOOKUP($B29,'[1]MC-1.7'!$B$8:$U$59,13,0)</f>
        <v>0</v>
      </c>
      <c r="J29" s="16">
        <f t="shared" si="0"/>
        <v>316493311.31999999</v>
      </c>
      <c r="K29" s="17">
        <f t="shared" si="1"/>
        <v>3424554197.7700009</v>
      </c>
      <c r="L29" s="18">
        <f t="shared" si="2"/>
        <v>2.0551180460121276E-3</v>
      </c>
      <c r="M29" s="19"/>
      <c r="N29" s="17">
        <f>+VLOOKUP(B29,'[2]6 сар'!$B$14:$K$64,10,0)</f>
        <v>3108060886.4500008</v>
      </c>
      <c r="O29" s="18">
        <v>1.9360883580060743E-3</v>
      </c>
    </row>
    <row r="30" spans="1:15" x14ac:dyDescent="0.25">
      <c r="A30" s="12">
        <f t="shared" si="3"/>
        <v>17</v>
      </c>
      <c r="B30" s="13" t="s">
        <v>50</v>
      </c>
      <c r="C30" s="14" t="s">
        <v>51</v>
      </c>
      <c r="D30" s="15" t="s">
        <v>19</v>
      </c>
      <c r="E30" s="20"/>
      <c r="F30" s="15" t="s">
        <v>19</v>
      </c>
      <c r="G30" s="16">
        <f>VLOOKUP(B30,'[1]MC-1.7'!$B$8:$U$59,18,0)</f>
        <v>0</v>
      </c>
      <c r="H30" s="16">
        <f>VLOOKUP($B30,'[1]MC-1.7'!$B$8:$U$59,8,0)</f>
        <v>700028984.45000005</v>
      </c>
      <c r="I30" s="16">
        <f>VLOOKUP($B30,'[1]MC-1.7'!$B$8:$U$59,13,0)</f>
        <v>0</v>
      </c>
      <c r="J30" s="16">
        <f t="shared" si="0"/>
        <v>700028984.45000005</v>
      </c>
      <c r="K30" s="17">
        <f t="shared" si="1"/>
        <v>3435818603.3299999</v>
      </c>
      <c r="L30" s="18">
        <f t="shared" si="2"/>
        <v>2.0618779574654283E-3</v>
      </c>
      <c r="M30" s="19"/>
      <c r="N30" s="17">
        <f>+VLOOKUP(B30,'[2]6 сар'!$B$14:$K$64,10,0)</f>
        <v>2735789618.8800001</v>
      </c>
      <c r="O30" s="18">
        <v>1.6732774874756375E-3</v>
      </c>
    </row>
    <row r="31" spans="1:15" x14ac:dyDescent="0.25">
      <c r="A31" s="12">
        <f t="shared" si="3"/>
        <v>18</v>
      </c>
      <c r="B31" s="13" t="s">
        <v>52</v>
      </c>
      <c r="C31" s="14" t="s">
        <v>53</v>
      </c>
      <c r="D31" s="15" t="s">
        <v>19</v>
      </c>
      <c r="E31" s="15" t="s">
        <v>19</v>
      </c>
      <c r="F31" s="20" t="s">
        <v>19</v>
      </c>
      <c r="G31" s="16">
        <f>VLOOKUP(B31,'[1]MC-1.7'!$B$8:$U$59,18,0)</f>
        <v>0</v>
      </c>
      <c r="H31" s="16">
        <f>VLOOKUP($B31,'[1]MC-1.7'!$B$8:$U$59,8,0)</f>
        <v>450974278.57000005</v>
      </c>
      <c r="I31" s="16">
        <f>VLOOKUP($B31,'[1]MC-1.7'!$B$8:$U$59,13,0)</f>
        <v>0</v>
      </c>
      <c r="J31" s="16">
        <f t="shared" si="0"/>
        <v>450974278.57000005</v>
      </c>
      <c r="K31" s="17">
        <f t="shared" si="1"/>
        <v>3134781932.9400001</v>
      </c>
      <c r="L31" s="18">
        <f t="shared" si="2"/>
        <v>1.8812220653108358E-3</v>
      </c>
      <c r="M31" s="19"/>
      <c r="N31" s="17">
        <f>+VLOOKUP(B31,'[2]6 сар'!$B$14:$K$64,10,0)</f>
        <v>2683807654.3699999</v>
      </c>
      <c r="O31" s="18">
        <v>1.6352169363339929E-3</v>
      </c>
    </row>
    <row r="32" spans="1:15" x14ac:dyDescent="0.25">
      <c r="A32" s="12">
        <f t="shared" si="3"/>
        <v>19</v>
      </c>
      <c r="B32" s="13" t="s">
        <v>54</v>
      </c>
      <c r="C32" s="14" t="s">
        <v>55</v>
      </c>
      <c r="D32" s="15" t="s">
        <v>19</v>
      </c>
      <c r="E32" s="15" t="s">
        <v>19</v>
      </c>
      <c r="F32" s="20" t="s">
        <v>19</v>
      </c>
      <c r="G32" s="16">
        <f>VLOOKUP(B32,'[1]MC-1.7'!$B$8:$U$59,18,0)</f>
        <v>0</v>
      </c>
      <c r="H32" s="16">
        <f>VLOOKUP($B32,'[1]MC-1.7'!$B$8:$U$59,8,0)</f>
        <v>195020222.41999999</v>
      </c>
      <c r="I32" s="16">
        <f>VLOOKUP($B32,'[1]MC-1.7'!$B$8:$U$59,13,0)</f>
        <v>2400240</v>
      </c>
      <c r="J32" s="16">
        <f t="shared" si="0"/>
        <v>197420462.41999999</v>
      </c>
      <c r="K32" s="17">
        <f t="shared" si="1"/>
        <v>2432541648.0499997</v>
      </c>
      <c r="L32" s="18">
        <f t="shared" si="2"/>
        <v>1.4597988380032024E-3</v>
      </c>
      <c r="M32" s="19"/>
      <c r="N32" s="17">
        <f>+VLOOKUP(B32,'[2]6 сар'!$B$14:$K$64,10,0)</f>
        <v>2235121185.6299996</v>
      </c>
      <c r="O32" s="18">
        <v>1.5211025355401373E-3</v>
      </c>
    </row>
    <row r="33" spans="1:15" x14ac:dyDescent="0.25">
      <c r="A33" s="12">
        <f t="shared" si="3"/>
        <v>20</v>
      </c>
      <c r="B33" s="13" t="s">
        <v>56</v>
      </c>
      <c r="C33" s="14" t="s">
        <v>57</v>
      </c>
      <c r="D33" s="15" t="s">
        <v>19</v>
      </c>
      <c r="E33" s="20"/>
      <c r="F33" s="20"/>
      <c r="G33" s="16">
        <f>VLOOKUP(B33,'[1]MC-1.7'!$B$8:$U$59,18,0)</f>
        <v>0</v>
      </c>
      <c r="H33" s="16">
        <f>VLOOKUP($B33,'[1]MC-1.7'!$B$8:$U$59,8,0)</f>
        <v>75049973.060000002</v>
      </c>
      <c r="I33" s="16">
        <f>VLOOKUP($B33,'[1]MC-1.7'!$B$8:$U$59,13,0)</f>
        <v>0</v>
      </c>
      <c r="J33" s="16">
        <f t="shared" si="0"/>
        <v>75049973.060000002</v>
      </c>
      <c r="K33" s="17">
        <f t="shared" si="1"/>
        <v>1803042419.3</v>
      </c>
      <c r="L33" s="18">
        <f t="shared" si="2"/>
        <v>1.0820284333773189E-3</v>
      </c>
      <c r="M33" s="19"/>
      <c r="N33" s="17">
        <f>+VLOOKUP(B33,'[2]6 сар'!$B$14:$K$64,10,0)</f>
        <v>1727992446.24</v>
      </c>
      <c r="O33" s="18">
        <v>1.2611242177347438E-3</v>
      </c>
    </row>
    <row r="34" spans="1:15" x14ac:dyDescent="0.25">
      <c r="A34" s="12">
        <f t="shared" si="3"/>
        <v>21</v>
      </c>
      <c r="B34" s="13" t="s">
        <v>58</v>
      </c>
      <c r="C34" s="14" t="s">
        <v>59</v>
      </c>
      <c r="D34" s="15" t="s">
        <v>19</v>
      </c>
      <c r="E34" s="20"/>
      <c r="F34" s="20"/>
      <c r="G34" s="16">
        <f>VLOOKUP(B34,'[1]MC-1.7'!$B$8:$U$59,18,0)</f>
        <v>0</v>
      </c>
      <c r="H34" s="16">
        <f>VLOOKUP($B34,'[1]MC-1.7'!$B$8:$U$59,8,0)</f>
        <v>385124686.56</v>
      </c>
      <c r="I34" s="16">
        <f>VLOOKUP($B34,'[1]MC-1.7'!$B$8:$U$59,13,0)</f>
        <v>0</v>
      </c>
      <c r="J34" s="16">
        <f t="shared" si="0"/>
        <v>385124686.56</v>
      </c>
      <c r="K34" s="17">
        <f t="shared" si="1"/>
        <v>2112447512.6399999</v>
      </c>
      <c r="L34" s="18">
        <f t="shared" si="2"/>
        <v>1.2677063213970682E-3</v>
      </c>
      <c r="M34" s="19"/>
      <c r="N34" s="17">
        <f>+VLOOKUP(B34,'[2]6 сар'!$B$14:$K$64,10,0)</f>
        <v>1727322826.0799999</v>
      </c>
      <c r="O34" s="18">
        <v>1.0038332084758819E-3</v>
      </c>
    </row>
    <row r="35" spans="1:15" x14ac:dyDescent="0.25">
      <c r="A35" s="12">
        <f t="shared" si="3"/>
        <v>22</v>
      </c>
      <c r="B35" s="13" t="s">
        <v>60</v>
      </c>
      <c r="C35" s="14" t="s">
        <v>61</v>
      </c>
      <c r="D35" s="15" t="s">
        <v>19</v>
      </c>
      <c r="E35" s="15" t="s">
        <v>19</v>
      </c>
      <c r="F35" s="15" t="s">
        <v>19</v>
      </c>
      <c r="G35" s="16">
        <f>VLOOKUP(B35,'[1]MC-1.7'!$B$8:$U$59,18,0)</f>
        <v>10000000</v>
      </c>
      <c r="H35" s="16">
        <f>VLOOKUP($B35,'[1]MC-1.7'!$B$8:$U$59,8,0)</f>
        <v>383701769.35000002</v>
      </c>
      <c r="I35" s="16">
        <f>VLOOKUP($B35,'[1]MC-1.7'!$B$8:$U$59,13,0)</f>
        <v>200000</v>
      </c>
      <c r="J35" s="16">
        <f t="shared" si="0"/>
        <v>393901769.35000002</v>
      </c>
      <c r="K35" s="17">
        <f t="shared" si="1"/>
        <v>1946956742.8400002</v>
      </c>
      <c r="L35" s="18">
        <f t="shared" si="2"/>
        <v>1.1683932289992646E-3</v>
      </c>
      <c r="M35" s="19"/>
      <c r="N35" s="17">
        <f>+VLOOKUP(B35,'[2]6 сар'!$B$14:$K$64,10,0)</f>
        <v>1553054973.49</v>
      </c>
      <c r="O35" s="18">
        <v>7.8539298561942786E-4</v>
      </c>
    </row>
    <row r="36" spans="1:15" x14ac:dyDescent="0.25">
      <c r="A36" s="12">
        <f t="shared" si="3"/>
        <v>23</v>
      </c>
      <c r="B36" s="13" t="s">
        <v>62</v>
      </c>
      <c r="C36" s="14" t="s">
        <v>63</v>
      </c>
      <c r="D36" s="15" t="s">
        <v>19</v>
      </c>
      <c r="E36" s="15" t="s">
        <v>19</v>
      </c>
      <c r="F36" s="15" t="s">
        <v>19</v>
      </c>
      <c r="G36" s="16">
        <f>VLOOKUP(B36,'[1]MC-1.7'!$B$8:$U$59,18,0)</f>
        <v>0</v>
      </c>
      <c r="H36" s="16">
        <f>VLOOKUP($B36,'[1]MC-1.7'!$B$8:$U$59,8,0)</f>
        <v>15291891.67</v>
      </c>
      <c r="I36" s="16">
        <f>VLOOKUP($B36,'[1]MC-1.7'!$B$8:$U$59,13,0)</f>
        <v>0</v>
      </c>
      <c r="J36" s="16">
        <f t="shared" si="0"/>
        <v>15291891.67</v>
      </c>
      <c r="K36" s="17">
        <f t="shared" si="1"/>
        <v>732685909.37999988</v>
      </c>
      <c r="L36" s="18">
        <f t="shared" si="2"/>
        <v>4.3969402949036736E-4</v>
      </c>
      <c r="M36" s="19"/>
      <c r="N36" s="17">
        <f>+VLOOKUP(B36,'[2]6 сар'!$B$14:$K$64,10,0)</f>
        <v>717394017.70999992</v>
      </c>
      <c r="O36" s="18">
        <v>5.0919742871670056E-4</v>
      </c>
    </row>
    <row r="37" spans="1:15" x14ac:dyDescent="0.25">
      <c r="A37" s="12">
        <f t="shared" si="3"/>
        <v>24</v>
      </c>
      <c r="B37" s="13" t="s">
        <v>64</v>
      </c>
      <c r="C37" s="14" t="s">
        <v>65</v>
      </c>
      <c r="D37" s="15" t="s">
        <v>19</v>
      </c>
      <c r="E37" s="20"/>
      <c r="F37" s="20"/>
      <c r="G37" s="16">
        <f>VLOOKUP(B37,'[1]MC-1.7'!$B$8:$U$59,18,0)</f>
        <v>0</v>
      </c>
      <c r="H37" s="16">
        <f>VLOOKUP($B37,'[1]MC-1.7'!$B$8:$U$59,8,0)</f>
        <v>48456839.880000003</v>
      </c>
      <c r="I37" s="16">
        <f>VLOOKUP($B37,'[1]MC-1.7'!$B$8:$U$59,13,0)</f>
        <v>0</v>
      </c>
      <c r="J37" s="16">
        <f t="shared" si="0"/>
        <v>48456839.880000003</v>
      </c>
      <c r="K37" s="17">
        <f t="shared" si="1"/>
        <v>781611934.68000007</v>
      </c>
      <c r="L37" s="18">
        <f t="shared" si="2"/>
        <v>4.6905515263426494E-4</v>
      </c>
      <c r="M37" s="19"/>
      <c r="N37" s="17">
        <f>+VLOOKUP(B37,'[2]6 сар'!$B$14:$K$64,10,0)</f>
        <v>733155094.80000007</v>
      </c>
      <c r="O37" s="18">
        <v>4.692644622526023E-4</v>
      </c>
    </row>
    <row r="38" spans="1:15" x14ac:dyDescent="0.25">
      <c r="A38" s="12">
        <f t="shared" si="3"/>
        <v>25</v>
      </c>
      <c r="B38" s="13" t="s">
        <v>66</v>
      </c>
      <c r="C38" s="14" t="s">
        <v>67</v>
      </c>
      <c r="D38" s="15" t="s">
        <v>19</v>
      </c>
      <c r="E38" s="15" t="s">
        <v>19</v>
      </c>
      <c r="F38" s="15" t="s">
        <v>19</v>
      </c>
      <c r="G38" s="16">
        <f>VLOOKUP(B38,'[1]MC-1.7'!$B$8:$U$59,18,0)</f>
        <v>0</v>
      </c>
      <c r="H38" s="16">
        <f>VLOOKUP($B38,'[1]MC-1.7'!$B$8:$U$59,8,0)</f>
        <v>80785556.959999993</v>
      </c>
      <c r="I38" s="16">
        <f>VLOOKUP($B38,'[1]MC-1.7'!$B$8:$U$59,13,0)</f>
        <v>0</v>
      </c>
      <c r="J38" s="16">
        <f t="shared" si="0"/>
        <v>80785556.959999993</v>
      </c>
      <c r="K38" s="17">
        <f t="shared" si="1"/>
        <v>843855365.61000013</v>
      </c>
      <c r="L38" s="18">
        <f t="shared" si="2"/>
        <v>5.0640821839483896E-4</v>
      </c>
      <c r="M38" s="19"/>
      <c r="N38" s="17">
        <f>+VLOOKUP(B38,'[2]6 сар'!$B$14:$K$64,10,0)</f>
        <v>763069808.6500001</v>
      </c>
      <c r="O38" s="18">
        <v>3.5071479017635069E-4</v>
      </c>
    </row>
    <row r="39" spans="1:15" x14ac:dyDescent="0.25">
      <c r="A39" s="12">
        <f t="shared" si="3"/>
        <v>26</v>
      </c>
      <c r="B39" s="13" t="s">
        <v>68</v>
      </c>
      <c r="C39" s="14" t="s">
        <v>69</v>
      </c>
      <c r="D39" s="15" t="s">
        <v>19</v>
      </c>
      <c r="E39" s="20"/>
      <c r="F39" s="20"/>
      <c r="G39" s="16">
        <f>VLOOKUP(B39,'[1]MC-1.7'!$B$8:$U$59,18,0)</f>
        <v>0</v>
      </c>
      <c r="H39" s="16">
        <f>VLOOKUP($B39,'[1]MC-1.7'!$B$8:$U$59,8,0)</f>
        <v>22601143.140000001</v>
      </c>
      <c r="I39" s="16">
        <f>VLOOKUP($B39,'[1]MC-1.7'!$B$8:$U$59,13,0)</f>
        <v>0</v>
      </c>
      <c r="J39" s="16">
        <f t="shared" si="0"/>
        <v>22601143.140000001</v>
      </c>
      <c r="K39" s="17">
        <f t="shared" si="1"/>
        <v>526780989.93999994</v>
      </c>
      <c r="L39" s="18">
        <f t="shared" si="2"/>
        <v>3.1612789758935395E-4</v>
      </c>
      <c r="M39" s="19"/>
      <c r="N39" s="17">
        <f>+VLOOKUP(B39,'[2]6 сар'!$B$14:$K$64,10,0)</f>
        <v>504179846.79999995</v>
      </c>
      <c r="O39" s="18">
        <v>3.0059631506552752E-4</v>
      </c>
    </row>
    <row r="40" spans="1:15" x14ac:dyDescent="0.25">
      <c r="A40" s="12">
        <f t="shared" si="3"/>
        <v>27</v>
      </c>
      <c r="B40" s="13" t="s">
        <v>72</v>
      </c>
      <c r="C40" s="14" t="s">
        <v>73</v>
      </c>
      <c r="D40" s="15" t="s">
        <v>19</v>
      </c>
      <c r="E40" s="20"/>
      <c r="F40" s="20"/>
      <c r="G40" s="16">
        <f>VLOOKUP(B40,'[1]MC-1.7'!$B$8:$U$59,18,0)</f>
        <v>0</v>
      </c>
      <c r="H40" s="16">
        <f>VLOOKUP($B40,'[1]MC-1.7'!$B$8:$U$59,8,0)</f>
        <v>269219679.28000003</v>
      </c>
      <c r="I40" s="16">
        <f>VLOOKUP($B40,'[1]MC-1.7'!$B$8:$U$59,13,0)</f>
        <v>0</v>
      </c>
      <c r="J40" s="16">
        <f t="shared" si="0"/>
        <v>269219679.28000003</v>
      </c>
      <c r="K40" s="17">
        <f t="shared" si="1"/>
        <v>560641750.58000004</v>
      </c>
      <c r="L40" s="18">
        <f t="shared" si="2"/>
        <v>3.3644816592917918E-4</v>
      </c>
      <c r="M40" s="19"/>
      <c r="N40" s="17">
        <f>+VLOOKUP(B40,'[2]6 сар'!$B$14:$K$64,10,0)</f>
        <v>291422071.30000001</v>
      </c>
      <c r="O40" s="18">
        <v>1.6575357957654597E-4</v>
      </c>
    </row>
    <row r="41" spans="1:15" x14ac:dyDescent="0.25">
      <c r="A41" s="12">
        <f t="shared" si="3"/>
        <v>28</v>
      </c>
      <c r="B41" s="13" t="s">
        <v>70</v>
      </c>
      <c r="C41" s="14" t="s">
        <v>71</v>
      </c>
      <c r="D41" s="15" t="s">
        <v>19</v>
      </c>
      <c r="E41" s="20"/>
      <c r="F41" s="20"/>
      <c r="G41" s="16">
        <f>VLOOKUP(B41,'[1]MC-1.7'!$B$8:$U$59,18,0)</f>
        <v>0</v>
      </c>
      <c r="H41" s="16">
        <f>VLOOKUP($B41,'[1]MC-1.7'!$B$8:$U$59,8,0)</f>
        <v>0</v>
      </c>
      <c r="I41" s="16">
        <f>VLOOKUP($B41,'[1]MC-1.7'!$B$8:$U$59,13,0)</f>
        <v>0</v>
      </c>
      <c r="J41" s="16">
        <f t="shared" si="0"/>
        <v>0</v>
      </c>
      <c r="K41" s="17">
        <f t="shared" si="1"/>
        <v>195495916.11000001</v>
      </c>
      <c r="L41" s="18">
        <f t="shared" si="2"/>
        <v>1.1731955808465715E-4</v>
      </c>
      <c r="M41" s="19"/>
      <c r="N41" s="17">
        <f>+VLOOKUP(B41,'[2]6 сар'!$B$14:$K$64,10,0)</f>
        <v>195495916.11000001</v>
      </c>
      <c r="O41" s="18">
        <v>1.4329367708777754E-4</v>
      </c>
    </row>
    <row r="42" spans="1:15" x14ac:dyDescent="0.25">
      <c r="A42" s="12">
        <f t="shared" si="3"/>
        <v>29</v>
      </c>
      <c r="B42" s="13" t="s">
        <v>74</v>
      </c>
      <c r="C42" s="14" t="s">
        <v>75</v>
      </c>
      <c r="D42" s="15" t="s">
        <v>19</v>
      </c>
      <c r="E42" s="20"/>
      <c r="F42" s="20"/>
      <c r="G42" s="16">
        <f>VLOOKUP(B42,'[1]MC-1.7'!$B$8:$U$59,18,0)</f>
        <v>0</v>
      </c>
      <c r="H42" s="16">
        <f>VLOOKUP($B42,'[1]MC-1.7'!$B$8:$U$59,8,0)</f>
        <v>22013051.359999999</v>
      </c>
      <c r="I42" s="16">
        <f>VLOOKUP($B42,'[1]MC-1.7'!$B$8:$U$59,13,0)</f>
        <v>0</v>
      </c>
      <c r="J42" s="16">
        <f t="shared" si="0"/>
        <v>22013051.359999999</v>
      </c>
      <c r="K42" s="17">
        <f t="shared" si="1"/>
        <v>277329836.80000001</v>
      </c>
      <c r="L42" s="18">
        <f t="shared" si="2"/>
        <v>1.6642912314730339E-4</v>
      </c>
      <c r="M42" s="19"/>
      <c r="N42" s="17">
        <f>+VLOOKUP(B42,'[2]6 сар'!$B$14:$K$64,10,0)</f>
        <v>255316785.44</v>
      </c>
      <c r="O42" s="18">
        <v>1.394352530392231E-4</v>
      </c>
    </row>
    <row r="43" spans="1:15" x14ac:dyDescent="0.25">
      <c r="A43" s="12">
        <f t="shared" si="3"/>
        <v>30</v>
      </c>
      <c r="B43" s="13" t="s">
        <v>76</v>
      </c>
      <c r="C43" s="14" t="s">
        <v>77</v>
      </c>
      <c r="D43" s="15" t="s">
        <v>19</v>
      </c>
      <c r="E43" s="20"/>
      <c r="F43" s="20"/>
      <c r="G43" s="16">
        <f>VLOOKUP(B43,'[1]MC-1.7'!$B$8:$U$59,18,0)</f>
        <v>0</v>
      </c>
      <c r="H43" s="16">
        <f>VLOOKUP($B43,'[1]MC-1.7'!$B$8:$U$59,8,0)</f>
        <v>43972721.899999999</v>
      </c>
      <c r="I43" s="16">
        <f>VLOOKUP($B43,'[1]MC-1.7'!$B$8:$U$59,13,0)</f>
        <v>2450000</v>
      </c>
      <c r="J43" s="16">
        <f t="shared" si="0"/>
        <v>46422721.899999999</v>
      </c>
      <c r="K43" s="17">
        <f t="shared" si="1"/>
        <v>229825678.67000002</v>
      </c>
      <c r="L43" s="18">
        <f t="shared" si="2"/>
        <v>1.3792128037549119E-4</v>
      </c>
      <c r="M43" s="19"/>
      <c r="N43" s="17">
        <f>+VLOOKUP(B43,'[2]6 сар'!$B$14:$K$64,10,0)</f>
        <v>183402956.77000001</v>
      </c>
      <c r="O43" s="18">
        <v>1.2101932277287666E-4</v>
      </c>
    </row>
    <row r="44" spans="1:15" x14ac:dyDescent="0.25">
      <c r="A44" s="12">
        <f t="shared" si="3"/>
        <v>31</v>
      </c>
      <c r="B44" s="13" t="s">
        <v>82</v>
      </c>
      <c r="C44" s="14" t="s">
        <v>83</v>
      </c>
      <c r="D44" s="15" t="s">
        <v>19</v>
      </c>
      <c r="E44" s="20"/>
      <c r="F44" s="20"/>
      <c r="G44" s="16">
        <f>VLOOKUP(B44,'[1]MC-1.7'!$B$8:$U$59,18,0)</f>
        <v>0</v>
      </c>
      <c r="H44" s="16">
        <f>VLOOKUP($B44,'[1]MC-1.7'!$B$8:$U$59,8,0)</f>
        <v>8405775.4000000004</v>
      </c>
      <c r="I44" s="16">
        <f>VLOOKUP($B44,'[1]MC-1.7'!$B$8:$U$59,13,0)</f>
        <v>0</v>
      </c>
      <c r="J44" s="16">
        <f t="shared" si="0"/>
        <v>8405775.4000000004</v>
      </c>
      <c r="K44" s="17">
        <f t="shared" si="1"/>
        <v>184176082.47</v>
      </c>
      <c r="L44" s="18">
        <f t="shared" si="2"/>
        <v>1.1052638354340796E-4</v>
      </c>
      <c r="M44" s="19"/>
      <c r="N44" s="17">
        <f>+VLOOKUP(B44,'[2]6 сар'!$B$14:$K$64,10,0)</f>
        <v>175770307.06999999</v>
      </c>
      <c r="O44" s="18">
        <v>1.1970137163438918E-4</v>
      </c>
    </row>
    <row r="45" spans="1:15" x14ac:dyDescent="0.25">
      <c r="A45" s="12">
        <f t="shared" si="3"/>
        <v>32</v>
      </c>
      <c r="B45" s="13" t="s">
        <v>80</v>
      </c>
      <c r="C45" s="14" t="s">
        <v>81</v>
      </c>
      <c r="D45" s="15" t="s">
        <v>19</v>
      </c>
      <c r="E45" s="20"/>
      <c r="F45" s="20"/>
      <c r="G45" s="16">
        <f>VLOOKUP(B45,'[1]MC-1.7'!$B$8:$U$59,18,0)</f>
        <v>0</v>
      </c>
      <c r="H45" s="16">
        <f>VLOOKUP($B45,'[1]MC-1.7'!$B$8:$U$59,8,0)</f>
        <v>1751737.95</v>
      </c>
      <c r="I45" s="16">
        <f>VLOOKUP($B45,'[1]MC-1.7'!$B$8:$U$59,13,0)</f>
        <v>0</v>
      </c>
      <c r="J45" s="16">
        <f t="shared" si="0"/>
        <v>1751737.95</v>
      </c>
      <c r="K45" s="17">
        <f t="shared" si="1"/>
        <v>137894109.39000002</v>
      </c>
      <c r="L45" s="18">
        <f t="shared" si="2"/>
        <v>8.2751989391990436E-5</v>
      </c>
      <c r="M45" s="19"/>
      <c r="N45" s="17">
        <f>+VLOOKUP(B45,'[2]6 сар'!$B$14:$K$64,10,0)</f>
        <v>136142371.44000003</v>
      </c>
      <c r="O45" s="18">
        <v>8.7037433705353722E-5</v>
      </c>
    </row>
    <row r="46" spans="1:15" x14ac:dyDescent="0.25">
      <c r="A46" s="12">
        <f t="shared" si="3"/>
        <v>33</v>
      </c>
      <c r="B46" s="13" t="s">
        <v>78</v>
      </c>
      <c r="C46" s="14" t="s">
        <v>79</v>
      </c>
      <c r="D46" s="15" t="s">
        <v>19</v>
      </c>
      <c r="E46" s="20"/>
      <c r="F46" s="20"/>
      <c r="G46" s="16">
        <f>VLOOKUP(B46,'[1]MC-1.7'!$B$8:$U$59,18,0)</f>
        <v>0</v>
      </c>
      <c r="H46" s="16">
        <f>VLOOKUP($B46,'[1]MC-1.7'!$B$8:$U$59,8,0)</f>
        <v>20299981</v>
      </c>
      <c r="I46" s="16">
        <f>VLOOKUP($B46,'[1]MC-1.7'!$B$8:$U$59,13,0)</f>
        <v>0</v>
      </c>
      <c r="J46" s="16">
        <f t="shared" ref="J46:J65" si="4">SUM(G46:I46)</f>
        <v>20299981</v>
      </c>
      <c r="K46" s="17">
        <f t="shared" ref="K46:K64" si="5">J46+N46</f>
        <v>143027492.31999999</v>
      </c>
      <c r="L46" s="18">
        <f t="shared" ref="L46:L64" si="6">K46/$K$65</f>
        <v>8.5832597052807518E-5</v>
      </c>
      <c r="M46" s="19"/>
      <c r="N46" s="17">
        <f>+VLOOKUP(B46,'[2]6 сар'!$B$14:$K$64,10,0)</f>
        <v>122727511.32000001</v>
      </c>
      <c r="O46" s="18">
        <v>8.2414435699913649E-5</v>
      </c>
    </row>
    <row r="47" spans="1:15" x14ac:dyDescent="0.25">
      <c r="A47" s="12">
        <f t="shared" si="3"/>
        <v>34</v>
      </c>
      <c r="B47" s="13" t="s">
        <v>88</v>
      </c>
      <c r="C47" s="14" t="s">
        <v>89</v>
      </c>
      <c r="D47" s="15" t="s">
        <v>19</v>
      </c>
      <c r="E47" s="20"/>
      <c r="F47" s="20"/>
      <c r="G47" s="16">
        <f>VLOOKUP(B47,'[1]MC-1.7'!$B$8:$U$59,18,0)</f>
        <v>0</v>
      </c>
      <c r="H47" s="16">
        <f>VLOOKUP($B47,'[1]MC-1.7'!$B$8:$U$59,8,0)</f>
        <v>2344332</v>
      </c>
      <c r="I47" s="16">
        <f>VLOOKUP($B47,'[1]MC-1.7'!$B$8:$U$59,13,0)</f>
        <v>0</v>
      </c>
      <c r="J47" s="16">
        <f t="shared" si="4"/>
        <v>2344332</v>
      </c>
      <c r="K47" s="17">
        <f t="shared" si="5"/>
        <v>60834747.529999994</v>
      </c>
      <c r="L47" s="18">
        <f t="shared" si="6"/>
        <v>3.6507697134683058E-5</v>
      </c>
      <c r="M47" s="19"/>
      <c r="N47" s="17">
        <f>+VLOOKUP(B47,'[2]6 сар'!$B$14:$K$64,10,0)</f>
        <v>58490415.529999994</v>
      </c>
      <c r="O47" s="18">
        <v>3.9985595820213396E-5</v>
      </c>
    </row>
    <row r="48" spans="1:15" x14ac:dyDescent="0.25">
      <c r="A48" s="12">
        <f t="shared" si="3"/>
        <v>35</v>
      </c>
      <c r="B48" s="13" t="s">
        <v>84</v>
      </c>
      <c r="C48" s="14" t="s">
        <v>85</v>
      </c>
      <c r="D48" s="15" t="s">
        <v>19</v>
      </c>
      <c r="E48" s="15" t="s">
        <v>19</v>
      </c>
      <c r="F48" s="15" t="s">
        <v>19</v>
      </c>
      <c r="G48" s="16">
        <f>VLOOKUP(B48,'[1]MC-1.7'!$B$8:$U$59,18,0)</f>
        <v>0</v>
      </c>
      <c r="H48" s="16">
        <f>VLOOKUP($B48,'[1]MC-1.7'!$B$8:$U$59,8,0)</f>
        <v>8259556.71</v>
      </c>
      <c r="I48" s="16">
        <f>VLOOKUP($B48,'[1]MC-1.7'!$B$8:$U$59,13,0)</f>
        <v>0</v>
      </c>
      <c r="J48" s="16">
        <f t="shared" si="4"/>
        <v>8259556.71</v>
      </c>
      <c r="K48" s="17">
        <f t="shared" si="5"/>
        <v>47280702.550000004</v>
      </c>
      <c r="L48" s="18">
        <f t="shared" si="6"/>
        <v>2.8373744267767775E-5</v>
      </c>
      <c r="M48" s="19"/>
      <c r="N48" s="17">
        <f>+VLOOKUP(B48,'[2]6 сар'!$B$14:$K$64,10,0)</f>
        <v>39021145.840000004</v>
      </c>
      <c r="O48" s="18">
        <v>2.688095931317378E-5</v>
      </c>
    </row>
    <row r="49" spans="1:15" x14ac:dyDescent="0.25">
      <c r="A49" s="12">
        <f t="shared" si="3"/>
        <v>36</v>
      </c>
      <c r="B49" s="13" t="s">
        <v>94</v>
      </c>
      <c r="C49" s="14" t="s">
        <v>95</v>
      </c>
      <c r="D49" s="15" t="s">
        <v>19</v>
      </c>
      <c r="E49" s="20"/>
      <c r="F49" s="20"/>
      <c r="G49" s="16">
        <f>VLOOKUP(B49,'[1]MC-1.7'!$B$8:$U$59,18,0)</f>
        <v>0</v>
      </c>
      <c r="H49" s="16">
        <f>VLOOKUP($B49,'[1]MC-1.7'!$B$8:$U$59,8,0)</f>
        <v>8547143.370000001</v>
      </c>
      <c r="I49" s="16">
        <f>VLOOKUP($B49,'[1]MC-1.7'!$B$8:$U$59,13,0)</f>
        <v>0</v>
      </c>
      <c r="J49" s="16">
        <f t="shared" si="4"/>
        <v>8547143.370000001</v>
      </c>
      <c r="K49" s="17">
        <f t="shared" si="5"/>
        <v>46206700.829999998</v>
      </c>
      <c r="L49" s="18">
        <f t="shared" si="6"/>
        <v>2.7729222327464607E-5</v>
      </c>
      <c r="M49" s="19"/>
      <c r="N49" s="17">
        <f>+VLOOKUP(B49,'[2]6 сар'!$B$14:$K$64,10,0)</f>
        <v>37659557.460000001</v>
      </c>
      <c r="O49" s="18">
        <v>2.5971643756948233E-5</v>
      </c>
    </row>
    <row r="50" spans="1:15" x14ac:dyDescent="0.25">
      <c r="A50" s="12">
        <f t="shared" si="3"/>
        <v>37</v>
      </c>
      <c r="B50" s="21" t="s">
        <v>86</v>
      </c>
      <c r="C50" s="14" t="s">
        <v>87</v>
      </c>
      <c r="D50" s="15" t="s">
        <v>19</v>
      </c>
      <c r="E50" s="15"/>
      <c r="F50" s="15"/>
      <c r="G50" s="16">
        <f>VLOOKUP(B50,'[1]MC-1.7'!$B$8:$U$59,18,0)</f>
        <v>0</v>
      </c>
      <c r="H50" s="16">
        <f>VLOOKUP($B50,'[1]MC-1.7'!$B$8:$U$59,8,0)</f>
        <v>32115915.810000002</v>
      </c>
      <c r="I50" s="16">
        <f>VLOOKUP($B50,'[1]MC-1.7'!$B$8:$U$59,13,0)</f>
        <v>0</v>
      </c>
      <c r="J50" s="16">
        <f t="shared" si="4"/>
        <v>32115915.810000002</v>
      </c>
      <c r="K50" s="17">
        <f t="shared" si="5"/>
        <v>53542824.910000004</v>
      </c>
      <c r="L50" s="18">
        <f t="shared" si="6"/>
        <v>3.213172265711619E-5</v>
      </c>
      <c r="M50" s="19"/>
      <c r="N50" s="17">
        <f>+VLOOKUP(B50,'[2]6 сар'!$B$14:$K$64,10,0)</f>
        <v>21426909.100000001</v>
      </c>
      <c r="O50" s="18">
        <v>1.430034004653285E-5</v>
      </c>
    </row>
    <row r="51" spans="1:15" x14ac:dyDescent="0.25">
      <c r="A51" s="12">
        <f t="shared" si="3"/>
        <v>38</v>
      </c>
      <c r="B51" s="13" t="s">
        <v>90</v>
      </c>
      <c r="C51" s="14" t="s">
        <v>91</v>
      </c>
      <c r="D51" s="15" t="s">
        <v>19</v>
      </c>
      <c r="E51" s="20"/>
      <c r="F51" s="20"/>
      <c r="G51" s="16">
        <f>VLOOKUP(B51,'[1]MC-1.7'!$B$8:$U$59,18,0)</f>
        <v>0</v>
      </c>
      <c r="H51" s="16">
        <f>VLOOKUP($B51,'[1]MC-1.7'!$B$8:$U$59,8,0)</f>
        <v>1358189.45</v>
      </c>
      <c r="I51" s="16">
        <f>VLOOKUP($B51,'[1]MC-1.7'!$B$8:$U$59,13,0)</f>
        <v>0</v>
      </c>
      <c r="J51" s="16">
        <f t="shared" si="4"/>
        <v>1358189.45</v>
      </c>
      <c r="K51" s="17">
        <f t="shared" si="5"/>
        <v>19940535.880000003</v>
      </c>
      <c r="L51" s="18">
        <f t="shared" si="6"/>
        <v>1.1966566381348487E-5</v>
      </c>
      <c r="M51" s="19"/>
      <c r="N51" s="17">
        <f>+VLOOKUP(B51,'[2]6 сар'!$B$14:$K$64,10,0)</f>
        <v>18582346.430000003</v>
      </c>
      <c r="O51" s="18">
        <v>1.1938480052002232E-5</v>
      </c>
    </row>
    <row r="52" spans="1:15" s="22" customFormat="1" x14ac:dyDescent="0.25">
      <c r="A52" s="12">
        <f t="shared" si="3"/>
        <v>39</v>
      </c>
      <c r="B52" s="13" t="s">
        <v>92</v>
      </c>
      <c r="C52" s="14" t="s">
        <v>93</v>
      </c>
      <c r="D52" s="15" t="s">
        <v>19</v>
      </c>
      <c r="E52" s="15"/>
      <c r="F52" s="20"/>
      <c r="G52" s="16">
        <f>VLOOKUP(B52,'[1]MC-1.7'!$B$8:$U$59,18,0)</f>
        <v>0</v>
      </c>
      <c r="H52" s="16">
        <f>VLOOKUP($B52,'[1]MC-1.7'!$B$8:$U$59,8,0)</f>
        <v>9970974.6500000004</v>
      </c>
      <c r="I52" s="16">
        <f>VLOOKUP($B52,'[1]MC-1.7'!$B$8:$U$59,13,0)</f>
        <v>0</v>
      </c>
      <c r="J52" s="16">
        <f t="shared" si="4"/>
        <v>9970974.6500000004</v>
      </c>
      <c r="K52" s="17">
        <f t="shared" si="5"/>
        <v>32247777.600000001</v>
      </c>
      <c r="L52" s="18">
        <f t="shared" si="6"/>
        <v>1.935229693041543E-5</v>
      </c>
      <c r="M52" s="19"/>
      <c r="N52" s="17">
        <f>+VLOOKUP(B52,'[2]6 сар'!$B$14:$K$64,10,0)</f>
        <v>22276802.949999999</v>
      </c>
      <c r="O52" s="18">
        <v>1.0626194167538938E-5</v>
      </c>
    </row>
    <row r="53" spans="1:15" x14ac:dyDescent="0.25">
      <c r="A53" s="12">
        <f t="shared" si="3"/>
        <v>40</v>
      </c>
      <c r="B53" s="13" t="s">
        <v>96</v>
      </c>
      <c r="C53" s="14" t="s">
        <v>97</v>
      </c>
      <c r="D53" s="15" t="s">
        <v>19</v>
      </c>
      <c r="E53" s="20"/>
      <c r="F53" s="20"/>
      <c r="G53" s="16">
        <f>VLOOKUP(B53,'[1]MC-1.7'!$B$8:$U$59,18,0)</f>
        <v>0</v>
      </c>
      <c r="H53" s="16">
        <f>VLOOKUP($B53,'[1]MC-1.7'!$B$8:$U$59,8,0)</f>
        <v>0</v>
      </c>
      <c r="I53" s="16">
        <f>VLOOKUP($B53,'[1]MC-1.7'!$B$8:$U$59,13,0)</f>
        <v>0</v>
      </c>
      <c r="J53" s="16">
        <f t="shared" si="4"/>
        <v>0</v>
      </c>
      <c r="K53" s="17">
        <f t="shared" si="5"/>
        <v>1515180</v>
      </c>
      <c r="L53" s="18">
        <f t="shared" si="6"/>
        <v>9.092785749994396E-7</v>
      </c>
      <c r="M53" s="19"/>
      <c r="N53" s="17">
        <f>+VLOOKUP(B53,'[2]6 сар'!$B$14:$K$64,10,0)</f>
        <v>1515180</v>
      </c>
      <c r="O53" s="18">
        <v>1.110589509847837E-6</v>
      </c>
    </row>
    <row r="54" spans="1:15" x14ac:dyDescent="0.25">
      <c r="A54" s="12">
        <f t="shared" si="3"/>
        <v>41</v>
      </c>
      <c r="B54" s="13" t="s">
        <v>98</v>
      </c>
      <c r="C54" s="14" t="s">
        <v>99</v>
      </c>
      <c r="D54" s="15" t="s">
        <v>19</v>
      </c>
      <c r="E54" s="20"/>
      <c r="F54" s="20"/>
      <c r="G54" s="16">
        <f>VLOOKUP(B54,'[1]MC-1.7'!$B$8:$U$59,18,0)</f>
        <v>0</v>
      </c>
      <c r="H54" s="16">
        <f>VLOOKUP($B54,'[1]MC-1.7'!$B$8:$U$59,8,0)</f>
        <v>0</v>
      </c>
      <c r="I54" s="16">
        <f>VLOOKUP($B54,'[1]MC-1.7'!$B$8:$U$59,13,0)</f>
        <v>0</v>
      </c>
      <c r="J54" s="16">
        <f t="shared" si="4"/>
        <v>0</v>
      </c>
      <c r="K54" s="17">
        <f t="shared" si="5"/>
        <v>1621710</v>
      </c>
      <c r="L54" s="18">
        <f t="shared" si="6"/>
        <v>9.7320856786806934E-7</v>
      </c>
      <c r="M54" s="19"/>
      <c r="N54" s="17">
        <f>+VLOOKUP(B54,'[2]6 сар'!$B$14:$K$64,10,0)</f>
        <v>1621710</v>
      </c>
      <c r="O54" s="18">
        <v>8.5550237903882095E-7</v>
      </c>
    </row>
    <row r="55" spans="1:15" x14ac:dyDescent="0.25">
      <c r="A55" s="12">
        <f t="shared" si="3"/>
        <v>42</v>
      </c>
      <c r="B55" s="13" t="s">
        <v>100</v>
      </c>
      <c r="C55" s="14" t="s">
        <v>101</v>
      </c>
      <c r="D55" s="15" t="s">
        <v>19</v>
      </c>
      <c r="E55" s="20"/>
      <c r="F55" s="20"/>
      <c r="G55" s="16">
        <f>VLOOKUP(B55,'[1]MC-1.7'!$B$8:$U$59,18,0)</f>
        <v>0</v>
      </c>
      <c r="H55" s="16">
        <f>VLOOKUP($B55,'[1]MC-1.7'!$B$8:$U$59,8,0)</f>
        <v>0</v>
      </c>
      <c r="I55" s="16">
        <f>VLOOKUP($B55,'[1]MC-1.7'!$B$8:$U$59,13,0)</f>
        <v>0</v>
      </c>
      <c r="J55" s="16">
        <f t="shared" si="4"/>
        <v>0</v>
      </c>
      <c r="K55" s="17">
        <f t="shared" si="5"/>
        <v>9016354.25</v>
      </c>
      <c r="L55" s="18">
        <f t="shared" si="6"/>
        <v>5.4108275875672471E-6</v>
      </c>
      <c r="M55" s="19"/>
      <c r="N55" s="17">
        <f>+VLOOKUP(B55,'[2]6 сар'!$B$14:$K$64,10,0)</f>
        <v>9016354.25</v>
      </c>
      <c r="O55" s="18">
        <v>7.0201148813594749E-7</v>
      </c>
    </row>
    <row r="56" spans="1:15" x14ac:dyDescent="0.25">
      <c r="A56" s="12">
        <f t="shared" si="3"/>
        <v>43</v>
      </c>
      <c r="B56" s="13" t="s">
        <v>102</v>
      </c>
      <c r="C56" s="14" t="s">
        <v>103</v>
      </c>
      <c r="D56" s="15" t="s">
        <v>19</v>
      </c>
      <c r="E56" s="20"/>
      <c r="F56" s="20"/>
      <c r="G56" s="16">
        <f>VLOOKUP(B56,'[1]MC-1.7'!$B$8:$U$59,18,0)</f>
        <v>0</v>
      </c>
      <c r="H56" s="16">
        <f>VLOOKUP($B56,'[1]MC-1.7'!$B$8:$U$59,8,0)</f>
        <v>637</v>
      </c>
      <c r="I56" s="16">
        <f>VLOOKUP($B56,'[1]MC-1.7'!$B$8:$U$59,13,0)</f>
        <v>0</v>
      </c>
      <c r="J56" s="16">
        <f t="shared" si="4"/>
        <v>637</v>
      </c>
      <c r="K56" s="17">
        <f t="shared" si="5"/>
        <v>3278.9700000000003</v>
      </c>
      <c r="L56" s="18">
        <f t="shared" si="6"/>
        <v>1.9677511378621108E-9</v>
      </c>
      <c r="M56" s="19"/>
      <c r="N56" s="17">
        <f>+VLOOKUP(B56,'[2]6 сар'!$B$14:$K$64,10,0)</f>
        <v>2641.9700000000003</v>
      </c>
      <c r="O56" s="18">
        <v>1.4131763717753861E-9</v>
      </c>
    </row>
    <row r="57" spans="1:15" x14ac:dyDescent="0.25">
      <c r="A57" s="12">
        <f t="shared" si="3"/>
        <v>44</v>
      </c>
      <c r="B57" s="13" t="s">
        <v>104</v>
      </c>
      <c r="C57" s="14" t="s">
        <v>105</v>
      </c>
      <c r="D57" s="15" t="s">
        <v>19</v>
      </c>
      <c r="E57" s="15"/>
      <c r="F57" s="20"/>
      <c r="G57" s="16">
        <f>VLOOKUP(B57,'[1]MC-1.7'!$B$8:$U$59,18,0)</f>
        <v>0</v>
      </c>
      <c r="H57" s="16">
        <f>VLOOKUP($B57,'[1]MC-1.7'!$B$8:$U$59,8,0)</f>
        <v>0</v>
      </c>
      <c r="I57" s="16">
        <f>VLOOKUP($B57,'[1]MC-1.7'!$B$8:$U$59,13,0)</f>
        <v>0</v>
      </c>
      <c r="J57" s="16">
        <f t="shared" si="4"/>
        <v>0</v>
      </c>
      <c r="K57" s="17">
        <f t="shared" si="5"/>
        <v>9678313</v>
      </c>
      <c r="L57" s="18">
        <f t="shared" si="6"/>
        <v>5.8080773591510921E-6</v>
      </c>
      <c r="M57" s="19"/>
      <c r="N57" s="17">
        <f>+VLOOKUP(B57,'[2]6 сар'!$B$14:$K$64,10,0)</f>
        <v>9678313</v>
      </c>
      <c r="O57" s="18">
        <v>0</v>
      </c>
    </row>
    <row r="58" spans="1:15" x14ac:dyDescent="0.25">
      <c r="A58" s="12">
        <f t="shared" si="3"/>
        <v>45</v>
      </c>
      <c r="B58" s="13" t="s">
        <v>106</v>
      </c>
      <c r="C58" s="14" t="s">
        <v>107</v>
      </c>
      <c r="D58" s="15" t="s">
        <v>19</v>
      </c>
      <c r="E58" s="20"/>
      <c r="F58" s="15" t="s">
        <v>19</v>
      </c>
      <c r="G58" s="16">
        <f>VLOOKUP(B58,'[1]MC-1.7'!$B$8:$U$59,18,0)</f>
        <v>0</v>
      </c>
      <c r="H58" s="16">
        <f>VLOOKUP($B58,'[1]MC-1.7'!$B$8:$U$59,8,0)</f>
        <v>0</v>
      </c>
      <c r="I58" s="16">
        <f>VLOOKUP($B58,'[1]MC-1.7'!$B$8:$U$59,13,0)</f>
        <v>0</v>
      </c>
      <c r="J58" s="16">
        <f t="shared" si="4"/>
        <v>0</v>
      </c>
      <c r="K58" s="17">
        <f t="shared" si="5"/>
        <v>0</v>
      </c>
      <c r="L58" s="18">
        <f t="shared" si="6"/>
        <v>0</v>
      </c>
      <c r="M58" s="19"/>
      <c r="N58" s="17">
        <f>+VLOOKUP(B58,'[2]6 сар'!$B$14:$K$64,10,0)</f>
        <v>0</v>
      </c>
      <c r="O58" s="18">
        <v>0</v>
      </c>
    </row>
    <row r="59" spans="1:15" x14ac:dyDescent="0.25">
      <c r="A59" s="12">
        <f t="shared" si="3"/>
        <v>46</v>
      </c>
      <c r="B59" s="13" t="s">
        <v>108</v>
      </c>
      <c r="C59" s="14" t="s">
        <v>109</v>
      </c>
      <c r="D59" s="15" t="s">
        <v>19</v>
      </c>
      <c r="E59" s="15"/>
      <c r="F59" s="20"/>
      <c r="G59" s="16">
        <f>VLOOKUP(B59,'[1]MC-1.7'!$B$8:$U$59,18,0)</f>
        <v>0</v>
      </c>
      <c r="H59" s="16">
        <f>VLOOKUP($B59,'[1]MC-1.7'!$B$8:$U$59,8,0)</f>
        <v>0</v>
      </c>
      <c r="I59" s="16">
        <f>VLOOKUP($B59,'[1]MC-1.7'!$B$8:$U$59,13,0)</f>
        <v>0</v>
      </c>
      <c r="J59" s="16">
        <f t="shared" si="4"/>
        <v>0</v>
      </c>
      <c r="K59" s="17">
        <f t="shared" si="5"/>
        <v>0</v>
      </c>
      <c r="L59" s="18">
        <f t="shared" si="6"/>
        <v>0</v>
      </c>
      <c r="M59" s="19"/>
      <c r="N59" s="17">
        <f>+VLOOKUP(B59,'[2]6 сар'!$B$14:$K$64,10,0)</f>
        <v>0</v>
      </c>
      <c r="O59" s="18">
        <v>0</v>
      </c>
    </row>
    <row r="60" spans="1:15" x14ac:dyDescent="0.25">
      <c r="A60" s="12">
        <f t="shared" si="3"/>
        <v>47</v>
      </c>
      <c r="B60" s="13" t="s">
        <v>110</v>
      </c>
      <c r="C60" s="14" t="s">
        <v>111</v>
      </c>
      <c r="D60" s="15" t="s">
        <v>19</v>
      </c>
      <c r="E60" s="20"/>
      <c r="F60" s="20"/>
      <c r="G60" s="16">
        <f>VLOOKUP(B60,'[1]MC-1.7'!$B$8:$U$59,18,0)</f>
        <v>0</v>
      </c>
      <c r="H60" s="16">
        <f>VLOOKUP($B60,'[1]MC-1.7'!$B$8:$U$59,8,0)</f>
        <v>0</v>
      </c>
      <c r="I60" s="16">
        <f>VLOOKUP($B60,'[1]MC-1.7'!$B$8:$U$59,13,0)</f>
        <v>0</v>
      </c>
      <c r="J60" s="16">
        <f t="shared" si="4"/>
        <v>0</v>
      </c>
      <c r="K60" s="17">
        <f t="shared" si="5"/>
        <v>0</v>
      </c>
      <c r="L60" s="18">
        <f t="shared" si="6"/>
        <v>0</v>
      </c>
      <c r="M60" s="19"/>
      <c r="N60" s="17">
        <f>+VLOOKUP(B60,'[2]6 сар'!$B$14:$K$64,10,0)</f>
        <v>0</v>
      </c>
      <c r="O60" s="18">
        <v>0</v>
      </c>
    </row>
    <row r="61" spans="1:15" x14ac:dyDescent="0.25">
      <c r="A61" s="12">
        <f t="shared" si="3"/>
        <v>48</v>
      </c>
      <c r="B61" s="13" t="s">
        <v>112</v>
      </c>
      <c r="C61" s="14" t="s">
        <v>113</v>
      </c>
      <c r="D61" s="15" t="s">
        <v>19</v>
      </c>
      <c r="E61" s="20"/>
      <c r="F61" s="20"/>
      <c r="G61" s="16">
        <f>VLOOKUP(B61,'[1]MC-1.7'!$B$8:$U$59,18,0)</f>
        <v>0</v>
      </c>
      <c r="H61" s="16">
        <f>VLOOKUP($B61,'[1]MC-1.7'!$B$8:$U$59,8,0)</f>
        <v>0</v>
      </c>
      <c r="I61" s="16">
        <f>VLOOKUP($B61,'[1]MC-1.7'!$B$8:$U$59,13,0)</f>
        <v>0</v>
      </c>
      <c r="J61" s="16">
        <f t="shared" si="4"/>
        <v>0</v>
      </c>
      <c r="K61" s="17">
        <f t="shared" si="5"/>
        <v>0</v>
      </c>
      <c r="L61" s="18">
        <f t="shared" si="6"/>
        <v>0</v>
      </c>
      <c r="M61" s="19"/>
      <c r="N61" s="17">
        <f>+VLOOKUP(B61,'[2]6 сар'!$B$14:$K$64,10,0)</f>
        <v>0</v>
      </c>
      <c r="O61" s="18">
        <v>0</v>
      </c>
    </row>
    <row r="62" spans="1:15" x14ac:dyDescent="0.25">
      <c r="A62" s="12">
        <f t="shared" si="3"/>
        <v>49</v>
      </c>
      <c r="B62" s="13" t="s">
        <v>114</v>
      </c>
      <c r="C62" s="14" t="s">
        <v>115</v>
      </c>
      <c r="D62" s="15" t="s">
        <v>19</v>
      </c>
      <c r="E62" s="20"/>
      <c r="F62" s="20"/>
      <c r="G62" s="16">
        <f>VLOOKUP(B62,'[1]MC-1.7'!$B$8:$U$59,18,0)</f>
        <v>0</v>
      </c>
      <c r="H62" s="16">
        <f>VLOOKUP($B62,'[1]MC-1.7'!$B$8:$U$59,8,0)</f>
        <v>0</v>
      </c>
      <c r="I62" s="16">
        <f>VLOOKUP($B62,'[1]MC-1.7'!$B$8:$U$59,13,0)</f>
        <v>0</v>
      </c>
      <c r="J62" s="16">
        <f t="shared" si="4"/>
        <v>0</v>
      </c>
      <c r="K62" s="17">
        <f t="shared" si="5"/>
        <v>0</v>
      </c>
      <c r="L62" s="18">
        <f t="shared" si="6"/>
        <v>0</v>
      </c>
      <c r="M62" s="19"/>
      <c r="N62" s="17">
        <f>+VLOOKUP(B62,'[2]6 сар'!$B$14:$K$64,10,0)</f>
        <v>0</v>
      </c>
      <c r="O62" s="18">
        <v>0</v>
      </c>
    </row>
    <row r="63" spans="1:15" x14ac:dyDescent="0.25">
      <c r="A63" s="12">
        <f t="shared" si="3"/>
        <v>50</v>
      </c>
      <c r="B63" s="13" t="s">
        <v>116</v>
      </c>
      <c r="C63" s="14" t="s">
        <v>117</v>
      </c>
      <c r="D63" s="15" t="s">
        <v>19</v>
      </c>
      <c r="E63" s="20"/>
      <c r="F63" s="20"/>
      <c r="G63" s="16">
        <f>VLOOKUP(B63,'[1]MC-1.7'!$B$8:$U$59,18,0)</f>
        <v>0</v>
      </c>
      <c r="H63" s="16">
        <f>VLOOKUP($B63,'[1]MC-1.7'!$B$8:$U$59,8,0)</f>
        <v>0</v>
      </c>
      <c r="I63" s="16">
        <f>VLOOKUP($B63,'[1]MC-1.7'!$B$8:$U$59,13,0)</f>
        <v>0</v>
      </c>
      <c r="J63" s="16">
        <f t="shared" si="4"/>
        <v>0</v>
      </c>
      <c r="K63" s="17">
        <f t="shared" si="5"/>
        <v>0</v>
      </c>
      <c r="L63" s="18">
        <f t="shared" si="6"/>
        <v>0</v>
      </c>
      <c r="M63" s="19"/>
      <c r="N63" s="17">
        <f>+VLOOKUP(B63,'[2]6 сар'!$B$14:$K$64,10,0)</f>
        <v>0</v>
      </c>
      <c r="O63" s="18">
        <v>0</v>
      </c>
    </row>
    <row r="64" spans="1:15" ht="16.5" thickBot="1" x14ac:dyDescent="0.3">
      <c r="A64" s="12">
        <f t="shared" si="3"/>
        <v>51</v>
      </c>
      <c r="B64" s="13" t="s">
        <v>118</v>
      </c>
      <c r="C64" s="14" t="s">
        <v>119</v>
      </c>
      <c r="D64" s="23" t="s">
        <v>19</v>
      </c>
      <c r="E64" s="24"/>
      <c r="F64" s="24"/>
      <c r="G64" s="16">
        <f>VLOOKUP(B64,'[1]MC-1.7'!$B$8:$U$59,18,0)</f>
        <v>0</v>
      </c>
      <c r="H64" s="16">
        <f>VLOOKUP($B64,'[1]MC-1.7'!$B$8:$U$59,8,0)</f>
        <v>0</v>
      </c>
      <c r="I64" s="16">
        <f>VLOOKUP($B64,'[1]MC-1.7'!$B$8:$U$59,13,0)</f>
        <v>0</v>
      </c>
      <c r="J64" s="16">
        <f t="shared" si="4"/>
        <v>0</v>
      </c>
      <c r="K64" s="17">
        <f t="shared" si="5"/>
        <v>115500</v>
      </c>
      <c r="L64" s="18">
        <f t="shared" si="6"/>
        <v>6.9313002687756753E-8</v>
      </c>
      <c r="M64" s="19"/>
      <c r="N64" s="17">
        <f>+VLOOKUP(B64,'[2]6 сар'!$B$14:$K$64,10,0)</f>
        <v>115500</v>
      </c>
      <c r="O64" s="18">
        <v>0</v>
      </c>
    </row>
    <row r="65" spans="1:15" x14ac:dyDescent="0.25">
      <c r="A65" s="34" t="s">
        <v>8</v>
      </c>
      <c r="B65" s="35"/>
      <c r="C65" s="36"/>
      <c r="D65" s="11">
        <f>COUNTA('8 сар'!D14:D63)</f>
        <v>50</v>
      </c>
      <c r="E65" s="11">
        <f>COUNTA('8 сар'!E14:E63)</f>
        <v>21</v>
      </c>
      <c r="F65" s="11">
        <f>COUNTA('8 сар'!F14:F63)</f>
        <v>20</v>
      </c>
      <c r="G65" s="16">
        <f>+SUM(G14:G64)</f>
        <v>19349820649.400002</v>
      </c>
      <c r="H65" s="16">
        <f t="shared" ref="H65:I65" si="7">+SUM(H14:H64)</f>
        <v>69281219429.559967</v>
      </c>
      <c r="I65" s="16">
        <f t="shared" si="7"/>
        <v>6043238182</v>
      </c>
      <c r="J65" s="16">
        <f t="shared" si="4"/>
        <v>94674278260.959961</v>
      </c>
      <c r="K65" s="17">
        <f>SUM(K14:K64)</f>
        <v>1666354010376.78</v>
      </c>
      <c r="L65" s="33">
        <f>SUM(L14:L64)</f>
        <v>1.0000000000000002</v>
      </c>
      <c r="N65" s="17" t="e">
        <f>+VLOOKUP(B65,'[2]6 сар'!$B$14:$K$64,10,0)</f>
        <v>#N/A</v>
      </c>
      <c r="O65" s="33">
        <v>1.0000000000000002</v>
      </c>
    </row>
    <row r="66" spans="1:15" ht="27" customHeight="1" x14ac:dyDescent="0.25">
      <c r="B66" s="37" t="s">
        <v>120</v>
      </c>
      <c r="C66" s="37"/>
      <c r="D66" s="8"/>
      <c r="E66" s="8"/>
      <c r="F66" s="8"/>
      <c r="G66" s="25"/>
      <c r="H66" s="2"/>
      <c r="I66" s="26"/>
      <c r="J66" s="27"/>
    </row>
    <row r="67" spans="1:15" ht="27.6" customHeight="1" x14ac:dyDescent="0.25">
      <c r="B67" s="37"/>
      <c r="C67" s="37"/>
      <c r="D67" s="8"/>
      <c r="E67" s="8"/>
      <c r="F67" s="8"/>
      <c r="G67" s="28"/>
      <c r="H67" s="28"/>
      <c r="K67" s="27"/>
      <c r="L67" s="27"/>
    </row>
    <row r="68" spans="1:15" x14ac:dyDescent="0.25">
      <c r="I68" s="29"/>
      <c r="J68" s="1"/>
      <c r="K68" s="30"/>
    </row>
    <row r="69" spans="1:15" x14ac:dyDescent="0.25">
      <c r="L69" s="30"/>
    </row>
    <row r="71" spans="1:15" x14ac:dyDescent="0.2">
      <c r="L71" s="31"/>
    </row>
    <row r="72" spans="1:15" x14ac:dyDescent="0.2">
      <c r="L72" s="31"/>
    </row>
    <row r="73" spans="1:15" x14ac:dyDescent="0.2">
      <c r="L73" s="31" t="s">
        <v>121</v>
      </c>
    </row>
    <row r="74" spans="1:15" x14ac:dyDescent="0.25">
      <c r="L74" s="32"/>
    </row>
    <row r="122" spans="11:11" x14ac:dyDescent="0.25">
      <c r="K122" s="27"/>
    </row>
  </sheetData>
  <sortState xmlns:xlrd2="http://schemas.microsoft.com/office/spreadsheetml/2017/richdata2" ref="B14:L64">
    <sortCondition descending="1" ref="L14:L64"/>
  </sortState>
  <mergeCells count="16">
    <mergeCell ref="N10:O11"/>
    <mergeCell ref="N12:N13"/>
    <mergeCell ref="O12:O13"/>
    <mergeCell ref="D8:I8"/>
    <mergeCell ref="A10:A13"/>
    <mergeCell ref="B10:B13"/>
    <mergeCell ref="C10:C13"/>
    <mergeCell ref="D10:F12"/>
    <mergeCell ref="G10:J11"/>
    <mergeCell ref="A65:C65"/>
    <mergeCell ref="B66:C67"/>
    <mergeCell ref="K10:L11"/>
    <mergeCell ref="H12:I12"/>
    <mergeCell ref="J12:J13"/>
    <mergeCell ref="K12:K13"/>
    <mergeCell ref="L12:L13"/>
  </mergeCells>
  <pageMargins left="0.25" right="0.25" top="0.75" bottom="0.75" header="0.3" footer="0.3"/>
  <pageSetup paperSize="5" scale="4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 сар</vt:lpstr>
      <vt:lpstr>'8 сар'!Print_Area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Ulziibat</dc:creator>
  <cp:lastModifiedBy>Ulziibat Dagva</cp:lastModifiedBy>
  <cp:lastPrinted>2026-06-10T05:50:53Z</cp:lastPrinted>
  <dcterms:created xsi:type="dcterms:W3CDTF">2026-06-10T05:48:27Z</dcterms:created>
  <dcterms:modified xsi:type="dcterms:W3CDTF">2026-09-14T02:47:50Z</dcterms:modified>
</cp:coreProperties>
</file>